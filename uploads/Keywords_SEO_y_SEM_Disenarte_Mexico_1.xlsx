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ómo leer esto" sheetId="1" state="visible" r:id="rId3"/>
    <sheet name="SEO" sheetId="2" state="visible" r:id="rId4"/>
    <sheet name="SEM Google Ads" sheetId="3" state="visible" r:id="rId5"/>
    <sheet name="Negativas SEM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<sst xmlns="http://schemas.openxmlformats.org/spreadsheetml/2006/main" count="1010" uniqueCount="479">
  <si>
    <t xml:space="preserve">KEYWORDS SEO + SEM — DISEÑARTE MÉXICO</t>
  </si>
  <si>
    <t xml:space="preserve">Dos frentes en un solo archivo: PUBLICIDAD (con ventas reales que lo respaldan) e INNOVACIÓN Y MARKETING DIGITAL (IA, capacitación y páginas web).</t>
  </si>
  <si>
    <t xml:space="preserve">Concepto</t>
  </si>
  <si>
    <t xml:space="preserve">Dato</t>
  </si>
  <si>
    <t xml:space="preserve">Lectura / acción</t>
  </si>
  <si>
    <t xml:space="preserve">LOS DOS FRENTES NO SE MIDEN IGUAL</t>
  </si>
  <si>
    <t xml:space="preserve">Publicidad: tienes evidencia dura</t>
  </si>
  <si>
    <t xml:space="preserve">MXN 1,355,774 en 350 operaciones (ENE–JUN 2025) y 20 conversiones en Google Ads</t>
  </si>
  <si>
    <t xml:space="preserve">Aquí puedes invertir con confianza desde el día uno</t>
  </si>
  <si>
    <t xml:space="preserve">Innovación digital: tienes cero historial de ventas</t>
  </si>
  <si>
    <t xml:space="preserve">Desarrollo web, IA y automatización vendieron MXN 0 en el semestre. Cursos: 1 venta de MXN 3,518</t>
  </si>
  <si>
    <t xml:space="preserve">No significa que no haya mercado: significa que nunca lo has salido a buscar</t>
  </si>
  <si>
    <t xml:space="preserve">Por eso el digital se trata como experimento, no como apuesta</t>
  </si>
  <si>
    <t xml:space="preserve">Presupuesto bajo, 30-60 días de medición, y solo entonces escalar lo que funcione</t>
  </si>
  <si>
    <t xml:space="preserve">Si inviertes en digital como inviertes en señalética, vas a quemar dinero sin aprender</t>
  </si>
  <si>
    <t xml:space="preserve">LO QUE ARRASTRAS DEL FRENTE PUBLICIDAD</t>
  </si>
  <si>
    <t xml:space="preserve">5 productos = 64% de tus ingresos</t>
  </si>
  <si>
    <t xml:space="preserve">Imagen corporativa, señalética, corte de vinil, social media, rotulación vehicular</t>
  </si>
  <si>
    <t xml:space="preserve">Ahí van los esfuerzos que sí puedes justificar con números</t>
  </si>
  <si>
    <t xml:space="preserve">Señalética y rotulación vehicular: doble evidencia</t>
  </si>
  <si>
    <t xml:space="preserve">Venden bien Y convierten en Ads (6 y 5 conversiones)</t>
  </si>
  <si>
    <t xml:space="preserve">Empieza por estas dos landings: el riesgo es casi nulo</t>
  </si>
  <si>
    <t xml:space="preserve">Tableros industriales: MXN 13,756 de ticket, sin competencia SEO</t>
  </si>
  <si>
    <t xml:space="preserve">5 ventas, MXN 68,782 en el semestre</t>
  </si>
  <si>
    <t xml:space="preserve">La oportunidad más limpia del catálogo físico</t>
  </si>
  <si>
    <t xml:space="preserve">EL FRENTE DIGITAL, ORDENADO POR RIESGO</t>
  </si>
  <si>
    <t xml:space="preserve">1. Páginas web — el menos riesgoso</t>
  </si>
  <si>
    <t xml:space="preserve">Servicio ya publicado en el sitio, con paquetes definidos y demanda local medible</t>
  </si>
  <si>
    <t xml:space="preserve">'diseño de páginas web san juan del río' tiene poca competencia. Arranca aquí</t>
  </si>
  <si>
    <t xml:space="preserve">2. Capacitación e IA — el de mejor margen</t>
  </si>
  <si>
    <t xml:space="preserve">Poca competencia local y casi nadie ofrece IA aplicada en la región</t>
  </si>
  <si>
    <t xml:space="preserve">Pero el taller suelto no aguanta pauta: se vende in-company o como evento con fecha</t>
  </si>
  <si>
    <t xml:space="preserve">3. Automatización y chatbots — el de ciclo más largo</t>
  </si>
  <si>
    <t xml:space="preserve">Producto en construcción, el comprador todavía no sabe que lo necesita</t>
  </si>
  <si>
    <t xml:space="preserve">Va por contenido educativo primero, pauta después</t>
  </si>
  <si>
    <t xml:space="preserve">DOS ADVERTENCIAS DE ARQUITECTURA</t>
  </si>
  <si>
    <t xml:space="preserve">Ojo con la canibalización de 'tableros'</t>
  </si>
  <si>
    <t xml:space="preserve">'Tablero de días sin accidentes' (físico, MXN 68,782 reales) vs 'tablero de control KPI' (digital)</t>
  </si>
  <si>
    <t xml:space="preserve">Son dos páginas distintas y dos compradores distintos. Nunca los mezcles en una URL</t>
  </si>
  <si>
    <t xml:space="preserve">Social media es tu 4ª fuente de ingresos</t>
  </si>
  <si>
    <t xml:space="preserve">MXN 113,494 en 38 operaciones, y en el sitio nuevo casi no aparece</t>
  </si>
  <si>
    <t xml:space="preserve">Ahí hay una decisión de negocio que tomar, no solo de SEO</t>
  </si>
  <si>
    <t xml:space="preserve">SUPUESTOS QUE DEBES SUSTITUIR</t>
  </si>
  <si>
    <t xml:space="preserve">El margen del 30% viene de tu archivo</t>
  </si>
  <si>
    <t xml:space="preserve">Está aplicado igual a los 34 productos, lo cual es improbable en la realidad</t>
  </si>
  <si>
    <t xml:space="preserve">Cámbialo en la pestaña SEM y todo se recalcula</t>
  </si>
  <si>
    <t xml:space="preserve">Los tickets de los servicios digitales son estimaciones mías</t>
  </si>
  <si>
    <t xml:space="preserve">Están marcados como 'Estimado' en la columna G de la pestaña SEM</t>
  </si>
  <si>
    <t xml:space="preserve">Sustitúyelos por tus precios reales de paquete antes de decidir presupuestos</t>
  </si>
  <si>
    <t xml:space="preserve">El CPC digital es más caro que el de publicidad</t>
  </si>
  <si>
    <t xml:space="preserve">Tu CPC real es MXN 19. En marketing digital, web e IA suele estar entre MXN 35 y 60</t>
  </si>
  <si>
    <t xml:space="preserve">Usé MXN 45 como referencia. Valídalo en Keyword Planner antes de pautar</t>
  </si>
  <si>
    <t xml:space="preserve">KEYWORDS PARA INDEXAR EN disenartemx.com</t>
  </si>
  <si>
    <t xml:space="preserve">Una keyword principal por URL. 'CREAR' = página que hoy no existe. Bloque 1: Publicidad (filas verdes de evidencia). Bloque 2: Innovación y Marketing Digital.</t>
  </si>
  <si>
    <t xml:space="preserve">Prio.</t>
  </si>
  <si>
    <t xml:space="preserve">Frente / producto</t>
  </si>
  <si>
    <t xml:space="preserve">Keyword a indexar</t>
  </si>
  <si>
    <t xml:space="preserve">Intención</t>
  </si>
  <si>
    <t xml:space="preserve">URL destino</t>
  </si>
  <si>
    <t xml:space="preserve">Estado</t>
  </si>
  <si>
    <t xml:space="preserve">Por qué esta keyword (evidencia)</t>
  </si>
  <si>
    <t xml:space="preserve">Qué hacer en la página</t>
  </si>
  <si>
    <t xml:space="preserve">P1</t>
  </si>
  <si>
    <t xml:space="preserve">PUBLICIDAD · Señalética (MXN 210,380)</t>
  </si>
  <si>
    <t xml:space="preserve">señalética industrial</t>
  </si>
  <si>
    <t xml:space="preserve">Transaccional</t>
  </si>
  <si>
    <t xml:space="preserve">/senaletica-industrial</t>
  </si>
  <si>
    <t xml:space="preserve">CREAR</t>
  </si>
  <si>
    <t xml:space="preserve">2º producto en ingresos con 42 ventas. En Ads: CTR 11.76% en concordancia exacta.</t>
  </si>
  <si>
    <t xml:space="preserve">H1 con la keyword. Bloques por tipo: piso, tuberías, extintores, rutas de evacuación.</t>
  </si>
  <si>
    <t xml:space="preserve">rotulación de tuberías nom-026</t>
  </si>
  <si>
    <t xml:space="preserve">CTR del 40%, el más alto de toda tu cuenta de Ads.</t>
  </si>
  <si>
    <t xml:space="preserve">H2 dedicado + tabla de colores de la norma. Es el contenido que más enlaces te va a ganar.</t>
  </si>
  <si>
    <t xml:space="preserve">señalización de seguridad para empresas</t>
  </si>
  <si>
    <t xml:space="preserve">11 clics históricos con la variante 'señalética de seguridad'.</t>
  </si>
  <si>
    <t xml:space="preserve">H2 con ángulo de cumplimiento: auditorías, STPS, ISO.</t>
  </si>
  <si>
    <t xml:space="preserve">PUBLICIDAD · Rotulación (MXN 112,304)</t>
  </si>
  <si>
    <t xml:space="preserve">rotulación vehicular</t>
  </si>
  <si>
    <t xml:space="preserve">/rotulacion-vehicular</t>
  </si>
  <si>
    <t xml:space="preserve">23 ventas, ticket MXN 4,882. En Ads: 6 conversiones a MXN 124 c/u. Doble evidencia.</t>
  </si>
  <si>
    <t xml:space="preserve">Landing propia. Hoy está enterrada en /publicidad y por eso no rankea.</t>
  </si>
  <si>
    <t xml:space="preserve">balizado de flotillas</t>
  </si>
  <si>
    <t xml:space="preserve">El producto incluye flotillas y transporte.</t>
  </si>
  <si>
    <t xml:space="preserve">H2 con caso de flotilla completa: unidades y tiempo de instalación.</t>
  </si>
  <si>
    <t xml:space="preserve">rotulación de vehículos querétaro</t>
  </si>
  <si>
    <t xml:space="preserve">Transaccional local</t>
  </si>
  <si>
    <t xml:space="preserve">33 impresiones y CTR de 12.12% en Ads.</t>
  </si>
  <si>
    <t xml:space="preserve">Menciona Querétaro, El Marqués y San Juan del Río en el cuerpo.</t>
  </si>
  <si>
    <t xml:space="preserve">PUBLICIDAD · Corte de vinil (MXN 127,373)</t>
  </si>
  <si>
    <t xml:space="preserve">corte de vinil querétaro</t>
  </si>
  <si>
    <t xml:space="preserve">/publicidad#catalogo</t>
  </si>
  <si>
    <t xml:space="preserve">Existente</t>
  </si>
  <si>
    <t xml:space="preserve">43 operaciones: el producto de mayor frecuencia del catálogo.</t>
  </si>
  <si>
    <t xml:space="preserve">Sección con ancla propia. Es tu entrada más frecuente de cliente nuevo.</t>
  </si>
  <si>
    <t xml:space="preserve">PUBLICIDAD · Gran formato (MXN 158,965)</t>
  </si>
  <si>
    <t xml:space="preserve">impresión gran formato</t>
  </si>
  <si>
    <t xml:space="preserve">/impresion-gran-formato</t>
  </si>
  <si>
    <t xml:space="preserve">CTR 10.57% en Ads. Vinil impreso + lona suman MXN 158,965.</t>
  </si>
  <si>
    <t xml:space="preserve">Habla de metros, materiales y tiempos: el comprador B2B compara especificaciones.</t>
  </si>
  <si>
    <t xml:space="preserve">P2</t>
  </si>
  <si>
    <t xml:space="preserve">impresión en vinil para empresas</t>
  </si>
  <si>
    <t xml:space="preserve">42 ventas de vinil impreso.</t>
  </si>
  <si>
    <t xml:space="preserve">Une vinil, lona y gran formato en una sola landing de producción.</t>
  </si>
  <si>
    <t xml:space="preserve">PUBLICIDAD · Local</t>
  </si>
  <si>
    <t xml:space="preserve">imprenta san juan del río</t>
  </si>
  <si>
    <t xml:space="preserve">/imprenta-san-juan-del-rio</t>
  </si>
  <si>
    <t xml:space="preserve">123 clics históricos, el mayor volumen local. En Ads costó MXN 1,836 sin convertir; en SEO el clic es gratis.</t>
  </si>
  <si>
    <t xml:space="preserve">Página de captación local que reparte hacia los servicios rentables.</t>
  </si>
  <si>
    <t xml:space="preserve">PUBLICIDAD · Imagen corporativa (MXN 304,351)</t>
  </si>
  <si>
    <t xml:space="preserve">cambio de imagen corporativa para empresas</t>
  </si>
  <si>
    <t xml:space="preserve">Comercial</t>
  </si>
  <si>
    <t xml:space="preserve">/publicidad#transformacion</t>
  </si>
  <si>
    <t xml:space="preserve">Tu producto #1 en ingresos: MXN 304,351 con ticket de MXN 38,043.</t>
  </si>
  <si>
    <t xml:space="preserve">Aprovecha la sección 'Antes y después' que ya tienes: es tu mejor activo y está desaprovechado.</t>
  </si>
  <si>
    <t xml:space="preserve">branding corporativo para empresas industriales</t>
  </si>
  <si>
    <t xml:space="preserve">En Ads 'branding para empresas' tuvo 393 impresiones con CTR 2.04%: hay demanda, faltó concretar.</t>
  </si>
  <si>
    <t xml:space="preserve">Baja del concepto abstracto al entregable: recepción, comedor, pasillos, fachada.</t>
  </si>
  <si>
    <t xml:space="preserve">PUBLICIDAD · Tableros físicos (MXN 68,782)</t>
  </si>
  <si>
    <t xml:space="preserve">tablero de días sin accidentes</t>
  </si>
  <si>
    <t xml:space="preserve">/tableros-industriales</t>
  </si>
  <si>
    <t xml:space="preserve">5 ventas con ticket de MXN 13,756. Competencia SEO prácticamente nula en México.</t>
  </si>
  <si>
    <t xml:space="preserve">OJO: esta página es de tableros FÍSICOS. No la mezcles con el tablero digital de KPIs.</t>
  </si>
  <si>
    <t xml:space="preserve">tablero organizacional para empresa</t>
  </si>
  <si>
    <t xml:space="preserve">Mismo producto, comprador de RH.</t>
  </si>
  <si>
    <t xml:space="preserve">H2 con porta hojas, acrílico y medidas.</t>
  </si>
  <si>
    <t xml:space="preserve">PUBLICIDAD · Acrílico y láser (MXN 102,592)</t>
  </si>
  <si>
    <t xml:space="preserve">corte y grabado láser en acrílico querétaro</t>
  </si>
  <si>
    <t xml:space="preserve">/corte-laser-acrilico</t>
  </si>
  <si>
    <t xml:space="preserve">18 ventas de acrílico + 7 de grabado láser.</t>
  </si>
  <si>
    <t xml:space="preserve">Producto con capacidad instalada propia: compite por precio y tiempo de entrega.</t>
  </si>
  <si>
    <t xml:space="preserve">letras corporativas en acrílico</t>
  </si>
  <si>
    <t xml:space="preserve">Aplicación de mayor ticket dentro del producto.</t>
  </si>
  <si>
    <t xml:space="preserve">Fotos de fachada instalada: el comprador necesita ver el acabado.</t>
  </si>
  <si>
    <t xml:space="preserve">PUBLICIDAD · Luminosos (MXN 8,000)</t>
  </si>
  <si>
    <t xml:space="preserve">letreros luminosos para empresas</t>
  </si>
  <si>
    <t xml:space="preserve">/letreros-luminosos</t>
  </si>
  <si>
    <t xml:space="preserve">Solo MXN 8,000 vendidos, pero en Ads dio 5 conversiones con 20% de tasa.</t>
  </si>
  <si>
    <t xml:space="preserve">Se busca mucho y se vende poco: revisa si el problema es precio o seguimiento.</t>
  </si>
  <si>
    <t xml:space="preserve">PUBLICIDAD · Película seguridad (MXN 22,399)</t>
  </si>
  <si>
    <t xml:space="preserve">película de seguridad para vidrios empresas</t>
  </si>
  <si>
    <t xml:space="preserve">Solo 2 ventas pero ticket de MXN 11,199.</t>
  </si>
  <si>
    <t xml:space="preserve">Producto de alto ticket sin promoción. Mínimo una sección con ancla propia.</t>
  </si>
  <si>
    <t xml:space="preserve">P3</t>
  </si>
  <si>
    <t xml:space="preserve">PUBLICIDAD · Tabloides (MXN 28,625)</t>
  </si>
  <si>
    <t xml:space="preserve">tarjetas de presentación querétaro</t>
  </si>
  <si>
    <t xml:space="preserve">29 operaciones pero ticket de solo MXN 987.</t>
  </si>
  <si>
    <t xml:space="preserve">Solo SEO, nunca pauta. Atrae PyME nueva y luego súbela de ticket.</t>
  </si>
  <si>
    <t xml:space="preserve">MARCA · Raíz</t>
  </si>
  <si>
    <t xml:space="preserve">agencia de publicidad en san juan del río</t>
  </si>
  <si>
    <t xml:space="preserve">Comercial local</t>
  </si>
  <si>
    <t xml:space="preserve">/</t>
  </si>
  <si>
    <t xml:space="preserve">Es tu title actual y tu posicionamiento de 20 años.</t>
  </si>
  <si>
    <t xml:space="preserve">Consérvalo. Agrega 'e innovación digital' para abrir el segundo frente sin perder el primero.</t>
  </si>
  <si>
    <t xml:space="preserve">agencia de publicidad para industria querétaro</t>
  </si>
  <si>
    <t xml:space="preserve">/nosotros</t>
  </si>
  <si>
    <t xml:space="preserve">Tu propio texto dice 'impulsamos la comunicación visual del sector industrial'.</t>
  </si>
  <si>
    <t xml:space="preserve">Refuerza el nicho industrial: es lo que te separa de las imprentas.</t>
  </si>
  <si>
    <t xml:space="preserve">DIGITAL · Páginas web</t>
  </si>
  <si>
    <t xml:space="preserve">diseño de páginas web san juan del río</t>
  </si>
  <si>
    <t xml:space="preserve">/paginas-web</t>
  </si>
  <si>
    <t xml:space="preserve">Sin ventas registradas en el semestre, pero es el término con menos competencia del bloque digital.</t>
  </si>
  <si>
    <t xml:space="preserve">Es la apuesta más razonable para arrancar. H1 local + demos en vivo de sitios que ya hiciste.</t>
  </si>
  <si>
    <t xml:space="preserve">páginas web para empresas querétaro</t>
  </si>
  <si>
    <t xml:space="preserve">'Para empresas' filtra al B2B y saca al que busca página personal.</t>
  </si>
  <si>
    <t xml:space="preserve">Sección con casos de empresa, no de emprendedor. Habla de tiempos y de quién da soporte.</t>
  </si>
  <si>
    <t xml:space="preserve">desarrollo web corporativo</t>
  </si>
  <si>
    <t xml:space="preserve">20% de CTR en Ads con 5 impresiones: única señal de demanda digital de toda la cuenta.</t>
  </si>
  <si>
    <t xml:space="preserve">Débil pero positiva. Vale la pena empujarla con contenido.</t>
  </si>
  <si>
    <t xml:space="preserve">diseño web para empresas industriales</t>
  </si>
  <si>
    <t xml:space="preserve">Cruce de tu nicho real (industria) con tu servicio nuevo.</t>
  </si>
  <si>
    <t xml:space="preserve">Aquí no compites con nadie. Usa el lenguaje de tus clientes de planta.</t>
  </si>
  <si>
    <t xml:space="preserve">agencia de diseño web querétaro</t>
  </si>
  <si>
    <t xml:space="preserve">Más competida en la capital que en San Juan del Río.</t>
  </si>
  <si>
    <t xml:space="preserve">Entra con modificador: 'para empresas', 'para industria'. No pelees el genérico.</t>
  </si>
  <si>
    <t xml:space="preserve">página web autoadministrable para pyme</t>
  </si>
  <si>
    <t xml:space="preserve">Responde la objeción clásica: 'y luego quién le mueve'.</t>
  </si>
  <si>
    <t xml:space="preserve">H2 que muestre el panel. Un video de 40 segundos vale más que tres párrafos.</t>
  </si>
  <si>
    <t xml:space="preserve">página web con whatsapp integrado</t>
  </si>
  <si>
    <t xml:space="preserve">Coincide con tu propia mecánica de contacto (wa.me).</t>
  </si>
  <si>
    <t xml:space="preserve">Prueba viva: tu sitio ya lo hace. Muéstralo como demostración, no como promesa.</t>
  </si>
  <si>
    <t xml:space="preserve">DIGITAL · Renta web</t>
  </si>
  <si>
    <t xml:space="preserve">renta de página web para negocio</t>
  </si>
  <si>
    <t xml:space="preserve">/paginas-web#paquetes</t>
  </si>
  <si>
    <t xml:space="preserve">Casi nadie compite por el término 'renta'. Es tu modelo diferenciador.</t>
  </si>
  <si>
    <t xml:space="preserve">Apropiarte de esta categoría tiene ventaja de primero. Rangos de precio visibles.</t>
  </si>
  <si>
    <t xml:space="preserve">rentar página web mensualidad</t>
  </si>
  <si>
    <t xml:space="preserve">Variante de búsqueda del mismo modelo.</t>
  </si>
  <si>
    <t xml:space="preserve">Tabla comparativa de los tres paquetes con lo que incluye cada uno.</t>
  </si>
  <si>
    <t xml:space="preserve">página web para pyme sin inversión inicial</t>
  </si>
  <si>
    <t xml:space="preserve">Ataca la barrera real de entrada de la PyME: el desembolso.</t>
  </si>
  <si>
    <t xml:space="preserve">Frase de apertura de la sección. Es tu argumento de venta más fuerte.</t>
  </si>
  <si>
    <t xml:space="preserve">paquetes de página web para pymes precios</t>
  </si>
  <si>
    <t xml:space="preserve">Búsqueda de comparación previa al cierre.</t>
  </si>
  <si>
    <t xml:space="preserve">Publicar precios reduce leads pero sube calidad. Decisión tuya.</t>
  </si>
  <si>
    <t xml:space="preserve">DIGITAL · Web · Blog</t>
  </si>
  <si>
    <t xml:space="preserve">cuánto cuesta una página web en méxico</t>
  </si>
  <si>
    <t xml:space="preserve">Informativa</t>
  </si>
  <si>
    <t xml:space="preserve">/blog</t>
  </si>
  <si>
    <t xml:space="preserve">Búsqueda #1 de la PyME antes de contratar.</t>
  </si>
  <si>
    <t xml:space="preserve">Publicar rangos reales filtra curiosos y genera confianza.</t>
  </si>
  <si>
    <t xml:space="preserve">rentar o comprar página web qué conviene</t>
  </si>
  <si>
    <t xml:space="preserve">Define la categoría en tus términos.</t>
  </si>
  <si>
    <t xml:space="preserve">Desemboca naturalmente en tus dos modelos de negocio.</t>
  </si>
  <si>
    <t xml:space="preserve">DIGITAL · Automatización IA</t>
  </si>
  <si>
    <t xml:space="preserve">automatización de procesos para pymes</t>
  </si>
  <si>
    <t xml:space="preserve">/automatizacion-ia</t>
  </si>
  <si>
    <t xml:space="preserve">Cabeza del clúster de IA. Sin ventas todavía: es contenido de creación de demanda.</t>
  </si>
  <si>
    <t xml:space="preserve">Landing pilar. De aquí cuelgan cotizaciones, facturación, seguimiento y tableros.</t>
  </si>
  <si>
    <t xml:space="preserve">automatizar cotizaciones de mi empresa</t>
  </si>
  <si>
    <t xml:space="preserve">Dolor concreto y medible. Tú mismo lo vives con tu proceso de cotización.</t>
  </si>
  <si>
    <t xml:space="preserve">Caso de estudio propio: cuánto tardaba antes y cuánto ahora. Es tu prueba más creíble.</t>
  </si>
  <si>
    <t xml:space="preserve">automatizar seguimiento a clientes</t>
  </si>
  <si>
    <t xml:space="preserve">Del catálogo de servicios del área.</t>
  </si>
  <si>
    <t xml:space="preserve">Conecta con el CRM. Muestra el antes y después de un embudo.</t>
  </si>
  <si>
    <t xml:space="preserve">automatizar facturación pyme</t>
  </si>
  <si>
    <t xml:space="preserve">Puerta de entrada contable.</t>
  </si>
  <si>
    <t xml:space="preserve">Ángulo de ahorro de horas administrativas, no de tecnología.</t>
  </si>
  <si>
    <t xml:space="preserve">automatización de procesos administrativos querétaro</t>
  </si>
  <si>
    <t xml:space="preserve">Modificador geográfico para bajar competencia.</t>
  </si>
  <si>
    <t xml:space="preserve">Menciona el corredor industrial: es donde están los presupuestos.</t>
  </si>
  <si>
    <t xml:space="preserve">inteligencia artificial para pymes méxico</t>
  </si>
  <si>
    <t xml:space="preserve">Volumen nacional con intención educativa, no de compra.</t>
  </si>
  <si>
    <t xml:space="preserve">Sirve para autoridad temática. No esperes cierres directos de aquí.</t>
  </si>
  <si>
    <t xml:space="preserve">DIGITAL · IA · Blog</t>
  </si>
  <si>
    <t xml:space="preserve">cómo usar inteligencia artificial en una pequeña empresa</t>
  </si>
  <si>
    <t xml:space="preserve">Entrada del embudo para el dueño que apenas está curioseando.</t>
  </si>
  <si>
    <t xml:space="preserve">Ejemplos con cifras. Nada de futurismo.</t>
  </si>
  <si>
    <t xml:space="preserve">qué procesos puede automatizar una pyme</t>
  </si>
  <si>
    <t xml:space="preserve">Búsqueda de exploración previa a cotizar.</t>
  </si>
  <si>
    <t xml:space="preserve">Lista práctica que termina en diagnóstico gratuito.</t>
  </si>
  <si>
    <t xml:space="preserve">DIGITAL · Chatbot WhatsApp</t>
  </si>
  <si>
    <t xml:space="preserve">chatbot de whatsapp para empresas</t>
  </si>
  <si>
    <t xml:space="preserve">/chatbot-whatsapp</t>
  </si>
  <si>
    <t xml:space="preserve">Es el producto que ya estás construyendo. Categoría en crecimiento sostenido.</t>
  </si>
  <si>
    <t xml:space="preserve">Landing propia con demo en vivo. Un bot que se puede probar vende solo.</t>
  </si>
  <si>
    <t xml:space="preserve">asistente de whatsapp que cotiza y agenda</t>
  </si>
  <si>
    <t xml:space="preserve">Long tail con intención altísima: describe literalmente tu producto.</t>
  </si>
  <si>
    <t xml:space="preserve">Úsala como H2. Poco volumen, pero quien la busca ya decidió comprar.</t>
  </si>
  <si>
    <t xml:space="preserve">chatbot para atención a clientes méxico</t>
  </si>
  <si>
    <t xml:space="preserve">Término más genérico y más competido.</t>
  </si>
  <si>
    <t xml:space="preserve">Diferénciate por integración con WhatsApp Business API y por precio de PyME.</t>
  </si>
  <si>
    <t xml:space="preserve">bot de whatsapp para negocios precio</t>
  </si>
  <si>
    <t xml:space="preserve">Búsqueda con intención de compra explícita.</t>
  </si>
  <si>
    <t xml:space="preserve">Sección de precios o rangos. Quien busca 'precio' está a un paso de cotizar.</t>
  </si>
  <si>
    <t xml:space="preserve">agente de ia para atención a clientes</t>
  </si>
  <si>
    <t xml:space="preserve">Término emergente, sube rápido.</t>
  </si>
  <si>
    <t xml:space="preserve">Vale la pena reservarlo ahora que casi nadie lo pelea.</t>
  </si>
  <si>
    <t xml:space="preserve">DIGITAL · Apps a la medida</t>
  </si>
  <si>
    <t xml:space="preserve">desarrollo de aplicaciones a la medida querétaro</t>
  </si>
  <si>
    <t xml:space="preserve">/apps-a-la-medida</t>
  </si>
  <si>
    <t xml:space="preserve">Local + alto ticket. Corredor industrial Qro–SJR–El Marqués.</t>
  </si>
  <si>
    <t xml:space="preserve">Landing con proceso de trabajo: descubrimiento, prototipo, entrega.</t>
  </si>
  <si>
    <t xml:space="preserve">software a la medida para pymes</t>
  </si>
  <si>
    <t xml:space="preserve">Cubre 'creamos la aplicación que tu negocio necesita' de tu catálogo.</t>
  </si>
  <si>
    <t xml:space="preserve">Muestra tus propios desarrollos internos como portafolio.</t>
  </si>
  <si>
    <t xml:space="preserve">app para control de inventarios pyme</t>
  </si>
  <si>
    <t xml:space="preserve">Aplicación concreta con demanda real en industria.</t>
  </si>
  <si>
    <t xml:space="preserve">Un caso de uso específico convierte mejor que 'software a la medida'.</t>
  </si>
  <si>
    <t xml:space="preserve">DIGITAL · Tableros y datos</t>
  </si>
  <si>
    <t xml:space="preserve">tablero de control de kpis para empresas</t>
  </si>
  <si>
    <t xml:space="preserve">/tableros-y-reportes</t>
  </si>
  <si>
    <t xml:space="preserve">OJO: distinto del tablero FÍSICO de días sin accidentes. Otro comprador, otra página.</t>
  </si>
  <si>
    <t xml:space="preserve">Diferenciador frente a agencias que solo hacen diseño. Screenshots reales.</t>
  </si>
  <si>
    <t xml:space="preserve">dashboard de ventas para pymes</t>
  </si>
  <si>
    <t xml:space="preserve">Del catálogo: 'tableros donde ves cómo va tu negocio'.</t>
  </si>
  <si>
    <t xml:space="preserve">Muestra un tablero real con datos ficticios pero estructura verdadera.</t>
  </si>
  <si>
    <t xml:space="preserve">crm para pymes méxico</t>
  </si>
  <si>
    <t xml:space="preserve">Tienes implementación real de Bigin: escribe desde la experiencia.</t>
  </si>
  <si>
    <t xml:space="preserve">Contenido honesto sobre qué CRM sirve a qué tamaño de empresa.</t>
  </si>
  <si>
    <t xml:space="preserve">integrar whatsapp con crm</t>
  </si>
  <si>
    <t xml:space="preserve">Búsqueda técnica de dueño de negocio.</t>
  </si>
  <si>
    <t xml:space="preserve">Demuestra capacidad en vez de prometerla.</t>
  </si>
  <si>
    <t xml:space="preserve">DIGITAL · Capacitación</t>
  </si>
  <si>
    <t xml:space="preserve">capacitación en inteligencia artificial para empresas</t>
  </si>
  <si>
    <t xml:space="preserve">/capacitacion-ia</t>
  </si>
  <si>
    <t xml:space="preserve">Poca competencia local y casi nadie ofrece IA aplicada en la región. Tu única venta de cursos fue MXN 3,518.</t>
  </si>
  <si>
    <t xml:space="preserve">Vende in-company (ticket alto), no asiento individual. El precio cambia todo el modelo.</t>
  </si>
  <si>
    <t xml:space="preserve">taller de ia aplicada a ventas</t>
  </si>
  <si>
    <t xml:space="preserve">Coincide con el taller intermedio de tu catálogo.</t>
  </si>
  <si>
    <t xml:space="preserve">Landing con fecha, sede y cupo: convierte mucho mejor que una página fija.</t>
  </si>
  <si>
    <t xml:space="preserve">curso de inteligencia artificial querétaro</t>
  </si>
  <si>
    <t xml:space="preserve">Captura al que quiere presencial, no online.</t>
  </si>
  <si>
    <t xml:space="preserve">Tu ventaja frente a los cursos de internet es justamente que estás ahí.</t>
  </si>
  <si>
    <t xml:space="preserve">capacitación in company querétaro</t>
  </si>
  <si>
    <t xml:space="preserve">Término del comprador de RH industrial, el que sí tiene presupuesto.</t>
  </si>
  <si>
    <t xml:space="preserve">Habla de constancias, DC-3 y facturación: es lo que RH necesita saber.</t>
  </si>
  <si>
    <t xml:space="preserve">taller de ia para equipos administrativos</t>
  </si>
  <si>
    <t xml:space="preserve">Segmenta por área y baja competencia.</t>
  </si>
  <si>
    <t xml:space="preserve">Muestra el temario. RH compra temario, no promesas.</t>
  </si>
  <si>
    <t xml:space="preserve">DIGITAL · Mentoría ventas</t>
  </si>
  <si>
    <t xml:space="preserve">mentoría de cierre de ventas</t>
  </si>
  <si>
    <t xml:space="preserve">/mentoria-ventas</t>
  </si>
  <si>
    <t xml:space="preserve">Servicio de tu catálogo. Tienes material propio de mindset de ventas.</t>
  </si>
  <si>
    <t xml:space="preserve">Landing con resultados medibles. Aquí el testimonio pesa más que el temario.</t>
  </si>
  <si>
    <t xml:space="preserve">curso de ventas para equipos comerciales</t>
  </si>
  <si>
    <t xml:space="preserve">Versión corporativa del mismo servicio.</t>
  </si>
  <si>
    <t xml:space="preserve">Empaqueta como programa de 4 a 8 sesiones, no como curso suelto.</t>
  </si>
  <si>
    <t xml:space="preserve">DIGITAL · Programa anual</t>
  </si>
  <si>
    <t xml:space="preserve">programa de aceleración para pymes</t>
  </si>
  <si>
    <t xml:space="preserve">/programa-aceleracion</t>
  </si>
  <si>
    <t xml:space="preserve">Cubre tu programa anual de ventas + IA + marketing.</t>
  </si>
  <si>
    <t xml:space="preserve">Término aspiracional: acompáñalo de entregables concretos mes a mes.</t>
  </si>
  <si>
    <t xml:space="preserve">DIGITAL · Capacitación · Blog</t>
  </si>
  <si>
    <t xml:space="preserve">cómo capacitar a mi equipo en inteligencia artificial</t>
  </si>
  <si>
    <t xml:space="preserve">Búsqueda de dueño o de RH explorando.</t>
  </si>
  <si>
    <t xml:space="preserve">Guía honesta que termine en diagnóstico de madurez digital.</t>
  </si>
  <si>
    <t xml:space="preserve">DIGITAL · Marketing digital</t>
  </si>
  <si>
    <t xml:space="preserve">agencia de marketing digital san juan del río</t>
  </si>
  <si>
    <t xml:space="preserve">/innovacion-digital</t>
  </si>
  <si>
    <t xml:space="preserve">Versión local de una keyword imposible a nivel nacional. Aquí sí puedes ser #1.</t>
  </si>
  <si>
    <t xml:space="preserve">H1 del área. Es la cabeza de todo el bloque digital.</t>
  </si>
  <si>
    <t xml:space="preserve">marketing digital para empresas industriales</t>
  </si>
  <si>
    <t xml:space="preserve">Nicho sin competencia real: tu cruce exacto entre industria y digital.</t>
  </si>
  <si>
    <t xml:space="preserve">Este es tu ángulo diferenciador. Debería estar en el H2 principal.</t>
  </si>
  <si>
    <t xml:space="preserve">agencia de marketing digital querétaro</t>
  </si>
  <si>
    <t xml:space="preserve">127 clics históricos en Ads con CTR 4.18%.</t>
  </si>
  <si>
    <t xml:space="preserve">Muy competida en la capital. Solo rankeable apoyada en el nicho industrial.</t>
  </si>
  <si>
    <t xml:space="preserve">DIGITAL · Social media (MXN 113,494)</t>
  </si>
  <si>
    <t xml:space="preserve">manejo de redes sociales para empresas querétaro</t>
  </si>
  <si>
    <t xml:space="preserve">/innovacion-digital#servicios</t>
  </si>
  <si>
    <t xml:space="preserve">4º producto en ingresos con 38 operaciones. Ingreso recurrente y hoy casi invisible en el sitio.</t>
  </si>
  <si>
    <t xml:space="preserve">Merece más que un bullet: es tu cuarta fuente de ingresos.</t>
  </si>
  <si>
    <t xml:space="preserve">agencia de redes sociales para industria</t>
  </si>
  <si>
    <t xml:space="preserve">Casi nadie se especializa en industrial.</t>
  </si>
  <si>
    <t xml:space="preserve">Usa los casos de clientes industriales que ya manejas.</t>
  </si>
  <si>
    <t xml:space="preserve">campañas de google ads para pymes</t>
  </si>
  <si>
    <t xml:space="preserve">Vendes lo que ya practicas en tu propia cuenta.</t>
  </si>
  <si>
    <t xml:space="preserve">Puedes mostrar métricas reales tuyas: eso casi ninguna agencia lo hace.</t>
  </si>
  <si>
    <t xml:space="preserve">KEYWORDS PARA PAUTA EN GOOGLE ADS</t>
  </si>
  <si>
    <t xml:space="preserve">Las columnas de utilidad, CPA y clics se calculan solas. Celdas amarillas = editables: cambia el margen o los CPC y todo se recalcula.</t>
  </si>
  <si>
    <t xml:space="preserve">Margen bruto (de tu archivo):</t>
  </si>
  <si>
    <t xml:space="preserve">% del margen que puedes gastar en adquirir un cliente:</t>
  </si>
  <si>
    <t xml:space="preserve">CPC real — frente publicidad (MXN):</t>
  </si>
  <si>
    <t xml:space="preserve">Dato real de tu campaña 'Estrategia b2b - Julio 2026'</t>
  </si>
  <si>
    <t xml:space="preserve">CPC estimado — frente digital (MXN):</t>
  </si>
  <si>
    <t xml:space="preserve">ESTIMACIÓN. Marketing digital, web e IA son categorías más caras. Valídalo en Keyword Planner.</t>
  </si>
  <si>
    <t xml:space="preserve">Grupo de anuncios</t>
  </si>
  <si>
    <t xml:space="preserve">Keyword</t>
  </si>
  <si>
    <t xml:space="preserve">Concord.</t>
  </si>
  <si>
    <t xml:space="preserve">Landing destino</t>
  </si>
  <si>
    <t xml:space="preserve">Ticket MXN</t>
  </si>
  <si>
    <t xml:space="preserve">Origen del ticket</t>
  </si>
  <si>
    <t xml:space="preserve">Utilidad por venta</t>
  </si>
  <si>
    <t xml:space="preserve">CPA máximo</t>
  </si>
  <si>
    <t xml:space="preserve">CPC ref.</t>
  </si>
  <si>
    <t xml:space="preserve">Clics máx. por venta</t>
  </si>
  <si>
    <t xml:space="preserve">Por qué (evidencia y advertencias)</t>
  </si>
  <si>
    <t xml:space="preserve">PUB · Rotulación vehicular</t>
  </si>
  <si>
    <t xml:space="preserve">Frase</t>
  </si>
  <si>
    <t xml:space="preserve">Venta real</t>
  </si>
  <si>
    <t xml:space="preserve">Ya probada: 6 conversiones, CTR 10.72%, CPA de MXN 124. La única con retorno demostrado.</t>
  </si>
  <si>
    <t xml:space="preserve">CTR 12.12% en 33 impresiones. Geolocalizada, menos competida.</t>
  </si>
  <si>
    <t xml:space="preserve">Nunca ha corrido. Poco volumen, intención altísima.</t>
  </si>
  <si>
    <t xml:space="preserve">PUB · Señalética industrial</t>
  </si>
  <si>
    <t xml:space="preserve">Exacta</t>
  </si>
  <si>
    <t xml:space="preserve">CTR 11.76% en exacta. 2º producto en ingresos con 42 ventas.</t>
  </si>
  <si>
    <t xml:space="preserve">rotulación de tuberías</t>
  </si>
  <si>
    <t xml:space="preserve">CTR del 40%, el más alto de la cuenta. Sube la puja: aguanta de sobra.</t>
  </si>
  <si>
    <t xml:space="preserve">proveedor de señalética industrial</t>
  </si>
  <si>
    <t xml:space="preserve">Lenguaje de compras: baja competencia, lead muy calificado.</t>
  </si>
  <si>
    <t xml:space="preserve">PUB · Tableros industriales</t>
  </si>
  <si>
    <t xml:space="preserve">Ticket de MXN 13,756 sin competencia en pauta. El mejor CPA disponible del catálogo físico.</t>
  </si>
  <si>
    <t xml:space="preserve">PUB · Imagen corporativa</t>
  </si>
  <si>
    <t xml:space="preserve">cambio de imagen corporativa empresa</t>
  </si>
  <si>
    <t xml:space="preserve">Ticket de MXN 38,043: puedes pagar un CPA altísimo y seguir ganando. Requiere remarketing.</t>
  </si>
  <si>
    <t xml:space="preserve">imagen corporativa para planta industrial</t>
  </si>
  <si>
    <t xml:space="preserve">Nicho exacto. Volumen bajo, pero cada lead vale una venta de seis cifras.</t>
  </si>
  <si>
    <t xml:space="preserve">PUB · Acrílico y láser</t>
  </si>
  <si>
    <t xml:space="preserve">corte láser de acrílico querétaro</t>
  </si>
  <si>
    <t xml:space="preserve">18 ventas en el semestre. Nunca se ha pautado.</t>
  </si>
  <si>
    <t xml:space="preserve">Aplicación de mayor ticket del producto.</t>
  </si>
  <si>
    <t xml:space="preserve">PUB · Letreros luminosos</t>
  </si>
  <si>
    <t xml:space="preserve">5 conversiones con 20% de tasa, pero solo MXN 8,000 vendidos. Revisa qué pasa entre lead y cierre.</t>
  </si>
  <si>
    <t xml:space="preserve">PUB · Película de seguridad</t>
  </si>
  <si>
    <t xml:space="preserve">película de seguridad para vidrios</t>
  </si>
  <si>
    <t xml:space="preserve">Ticket de MXN 11,199 con solo 2 ventas. Producto oculto de alto margen.</t>
  </si>
  <si>
    <t xml:space="preserve">PUB · Gran formato</t>
  </si>
  <si>
    <t xml:space="preserve">CTR 10.57%. En exacta para no derrochar en 'impresiones' genéricas.</t>
  </si>
  <si>
    <t xml:space="preserve">DIG · Páginas web</t>
  </si>
  <si>
    <t xml:space="preserve">ESTIMADO</t>
  </si>
  <si>
    <t xml:space="preserve">Lo menos riesgoso del bloque digital: local y poco competido. Arranca con MXN 100 diarios, 30 días.</t>
  </si>
  <si>
    <t xml:space="preserve">'Para empresas' filtra al B2B. Más caro que SJR pero mejor calificado.</t>
  </si>
  <si>
    <t xml:space="preserve">20% de CTR con 5 impresiones. Señal débil pero es la única que tienes en digital.</t>
  </si>
  <si>
    <t xml:space="preserve">Nicho sin competencia. Volumen bajo, conversión potencialmente alta.</t>
  </si>
  <si>
    <t xml:space="preserve">Competida. Solo entra si las anteriores ya rindieron.</t>
  </si>
  <si>
    <t xml:space="preserve">DIG · Renta web</t>
  </si>
  <si>
    <t xml:space="preserve">Categoría sin competencia: CPC probablemente muy por debajo de MXN 45. Ticket = valor a 12 meses.</t>
  </si>
  <si>
    <t xml:space="preserve">página web por mensualidad</t>
  </si>
  <si>
    <t xml:space="preserve">Variante del mismo modelo. Vigila que no traiga buscadores de hosting barato.</t>
  </si>
  <si>
    <t xml:space="preserve">DIG · Chatbot WhatsApp</t>
  </si>
  <si>
    <t xml:space="preserve">Categoría en crecimiento y competida por SaaS internacionales. Diferénciate por implementación local.</t>
  </si>
  <si>
    <t xml:space="preserve">Long tail barata y con intención de compra. Empieza por aquí, no por el término genérico.</t>
  </si>
  <si>
    <t xml:space="preserve">Quien busca 'precio' está a un paso de cotizar. Manda a una landing con rangos.</t>
  </si>
  <si>
    <t xml:space="preserve">DIG · Automatización IA</t>
  </si>
  <si>
    <t xml:space="preserve">Ciclo de venta largo: el comprador aún no sabe que lo necesita. Espera CPA alto los primeros meses.</t>
  </si>
  <si>
    <t xml:space="preserve">Dolor concreto y buscador con problema definido. Mejor apuesta del grupo.</t>
  </si>
  <si>
    <t xml:space="preserve">Geolocalizada: menos volumen, menos costo.</t>
  </si>
  <si>
    <t xml:space="preserve">DIG · Apps a la medida</t>
  </si>
  <si>
    <t xml:space="preserve">El ticket más alto de todo el bloque digital: aguanta CPA de cuatro cifras.</t>
  </si>
  <si>
    <t xml:space="preserve">Genérico y competido. Solo con presupuesto ya validado.</t>
  </si>
  <si>
    <t xml:space="preserve">DIG · Tableros y datos</t>
  </si>
  <si>
    <t xml:space="preserve">NEGATIVIZA 'días sin accidentes' aquí, o canibalizas tu campaña de tableros físicos.</t>
  </si>
  <si>
    <t xml:space="preserve">DIG · Capacitación in company</t>
  </si>
  <si>
    <t xml:space="preserve">El comprador de RH sí tiene presupuesto. Este es el formato que aguanta pauta.</t>
  </si>
  <si>
    <t xml:space="preserve">Poca competencia local y casi nadie ofrece IA aplicada en la región.</t>
  </si>
  <si>
    <t xml:space="preserve">Segmentado por área: menos volumen, mejor calificado.</t>
  </si>
  <si>
    <t xml:space="preserve">DIG · Mentoría ventas</t>
  </si>
  <si>
    <t xml:space="preserve">Tienes material propio. El testimonio importa más que el anuncio.</t>
  </si>
  <si>
    <t xml:space="preserve">Versión corporativa. Empaqueta como programa, no como curso suelto.</t>
  </si>
  <si>
    <t xml:space="preserve">DIG · Marketing digital</t>
  </si>
  <si>
    <t xml:space="preserve">Ticket de social media, que es recurrente: el CPA se amortiza en varios meses de contrato.</t>
  </si>
  <si>
    <t xml:space="preserve">Nicho poco disputado. Bajo volumen.</t>
  </si>
  <si>
    <t xml:space="preserve">NO</t>
  </si>
  <si>
    <t xml:space="preserve">No pautar — solo SEO</t>
  </si>
  <si>
    <t xml:space="preserve">curso de inteligencia artificial (asiento individual)</t>
  </si>
  <si>
    <t xml:space="preserve">—</t>
  </si>
  <si>
    <t xml:space="preserve">Tu única venta de cursos fue de MXN 3,518: deja MXN 1,055 de utilidad. Con CPC de MXN 45 no alcanza ni para 5 clics.</t>
  </si>
  <si>
    <t xml:space="preserve">impresión de lonas</t>
  </si>
  <si>
    <t xml:space="preserve">Con CPC de MXN 19 necesitas cerrar 1 de cada 4 clics para no perder. Improbable.</t>
  </si>
  <si>
    <t xml:space="preserve">tarjetas de presentación</t>
  </si>
  <si>
    <t xml:space="preserve">La utilidad no alcanza ni para 15 clics. Se capta con SEO local.</t>
  </si>
  <si>
    <t xml:space="preserve">imprenta cerca de mí</t>
  </si>
  <si>
    <t xml:space="preserve">Google Business</t>
  </si>
  <si>
    <t xml:space="preserve">Se gana con ficha de Google, reseñas y NAP consistente. Pagar por esto es tirar dinero.</t>
  </si>
  <si>
    <t xml:space="preserve">Intención educativa, no de compra. Clics caros de gente que solo está aprendiendo.</t>
  </si>
  <si>
    <t xml:space="preserve">Cómo leer 'Clics máx. por venta': si gastas más de esos clics sin cerrar una venta, esa keyword te está costando dinero. Es tu semáforo semanal. Los tickets marcados ESTIMADO son suposiciones mías: reemplázalos por tus precios reales de paquete y todo se recalcula.</t>
  </si>
  <si>
    <t xml:space="preserve">PALABRAS CLAVE NEGATIVAS</t>
  </si>
  <si>
    <t xml:space="preserve">Lista negativa compartida para todas las campañas, más las específicas del frente digital, donde el desperdicio suele ser mucho mayor.</t>
  </si>
  <si>
    <t xml:space="preserve">Término negativo</t>
  </si>
  <si>
    <t xml:space="preserve">Concordancia</t>
  </si>
  <si>
    <t xml:space="preserve">Motivo</t>
  </si>
  <si>
    <t xml:space="preserve">GENERALES</t>
  </si>
  <si>
    <t xml:space="preserve">posicionamientoweb</t>
  </si>
  <si>
    <t xml:space="preserve">Amplia</t>
  </si>
  <si>
    <t xml:space="preserve">Spam de agencias SEO: 182 impresiones y MXN 55 en clics de bots o competencia.</t>
  </si>
  <si>
    <t xml:space="preserve">posicionamientowebeconomico</t>
  </si>
  <si>
    <t xml:space="preserve">Mismo caso: 8 clics pagados sin valor.</t>
  </si>
  <si>
    <t xml:space="preserve">advertisement</t>
  </si>
  <si>
    <t xml:space="preserve">79 impresiones en inglés, cero clics. Fuera de mercado.</t>
  </si>
  <si>
    <t xml:space="preserve">gratis</t>
  </si>
  <si>
    <t xml:space="preserve">Nunca compra. Filtra desde el inicio.</t>
  </si>
  <si>
    <t xml:space="preserve">empleo / vacante / sueldo / bolsa de trabajo</t>
  </si>
  <si>
    <t xml:space="preserve">Busca trabajo, no proveedor.</t>
  </si>
  <si>
    <t xml:space="preserve">segunda mano / usado</t>
  </si>
  <si>
    <t xml:space="preserve">Busca reventa.</t>
  </si>
  <si>
    <t xml:space="preserve">FRENTE PUBLICIDAD</t>
  </si>
  <si>
    <t xml:space="preserve">copias</t>
  </si>
  <si>
    <t xml:space="preserve">Busca fotocopias a peso. Ni PyME ni B2B.</t>
  </si>
  <si>
    <t xml:space="preserve">como hacer / como crear / creador de</t>
  </si>
  <si>
    <t xml:space="preserve">Intención DIY: MXN 122 gastados en 'cómo hacer un logo'.</t>
  </si>
  <si>
    <t xml:space="preserve">plantilla</t>
  </si>
  <si>
    <t xml:space="preserve">Busca archivo descargable.</t>
  </si>
  <si>
    <t xml:space="preserve">interiores</t>
  </si>
  <si>
    <t xml:space="preserve">Se disparó por 'decoración de interiores'. No está en tu catálogo.</t>
  </si>
  <si>
    <t xml:space="preserve">sdi / copitec / copy tec / krearte / digicenter / publiexpress / qprint</t>
  </si>
  <si>
    <t xml:space="preserve">Competencia local por nombre: 96 impresiones y MXN 55 gastados solo en SDI.</t>
  </si>
  <si>
    <t xml:space="preserve">jilotepec</t>
  </si>
  <si>
    <t xml:space="preserve">Fuera de tu radio de cobertura actual.</t>
  </si>
  <si>
    <t xml:space="preserve">FRENTE DIGITAL — aquí se fuga más dinero</t>
  </si>
  <si>
    <t xml:space="preserve">wordpress / wix / shopify / godaddy</t>
  </si>
  <si>
    <t xml:space="preserve">Busca hacerlo solo en una plataforma, no contratarte.</t>
  </si>
  <si>
    <t xml:space="preserve">plantillas de página web / template</t>
  </si>
  <si>
    <t xml:space="preserve">Busca descargar un tema, no un servicio.</t>
  </si>
  <si>
    <t xml:space="preserve">hosting / dominio / servidor</t>
  </si>
  <si>
    <t xml:space="preserve">Busca infraestructura barata, no desarrollo.</t>
  </si>
  <si>
    <t xml:space="preserve">curso gratis / tutorial / aprender</t>
  </si>
  <si>
    <t xml:space="preserve">Intención de aprender, no de contratar. Es la fuga #1 en keywords de IA.</t>
  </si>
  <si>
    <t xml:space="preserve">chatgpt / gemini / copilot</t>
  </si>
  <si>
    <t xml:space="preserve">Busca la herramienta, no un implementador.</t>
  </si>
  <si>
    <t xml:space="preserve">api / documentación / github</t>
  </si>
  <si>
    <t xml:space="preserve">Perfil técnico buscando recursos, no comprador.</t>
  </si>
  <si>
    <t xml:space="preserve">empleo desarrollador / freelance / cuánto gana</t>
  </si>
  <si>
    <t xml:space="preserve">Busca trabajo o tarifa, no proveedor.</t>
  </si>
  <si>
    <t xml:space="preserve">universidad / diplomado / certificación oficial</t>
  </si>
  <si>
    <t xml:space="preserve">Busca educación formal, no capacitación empresarial.</t>
  </si>
  <si>
    <t xml:space="preserve">días sin accidentes</t>
  </si>
  <si>
    <t xml:space="preserve">OBLIGATORIA en la campaña de tableros digitales: si no, canibaliza la de tableros físicos.</t>
  </si>
  <si>
    <t xml:space="preserve">open source / código abierto / descargar</t>
  </si>
  <si>
    <t xml:space="preserve">Busca alternativa gratuita.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</si>
</sst>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#,##0.00"/>
    <numFmt numFmtId="167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7C07A6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7C07A6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1F7A4D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B374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A53692"/>
        <bgColor rgb="FF993366"/>
      </patternFill>
    </fill>
    <fill>
      <patternFill patternType="solid">
        <fgColor rgb="FFF4F4F4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5CC6D0"/>
        <bgColor rgb="FF99CCFF"/>
      </patternFill>
    </fill>
    <fill>
      <patternFill patternType="solid">
        <fgColor rgb="FFFCE4E4"/>
        <bgColor rgb="FFF4F4F4"/>
      </patternFill>
    </fill>
    <fill>
      <patternFill patternType="solid">
        <fgColor rgb="FF96989A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37400"/>
      <rgbColor rgb="FF7C07A6"/>
      <rgbColor rgb="FF1F7A4D"/>
      <rgbColor rgb="FFC0C0C0"/>
      <rgbColor rgb="FF808080"/>
      <rgbColor rgb="FF9999FF"/>
      <rgbColor rgb="FFA53692"/>
      <rgbColor rgb="FFF4F4F4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5CC6D0"/>
      <rgbColor rgb="FF99CC00"/>
      <rgbColor rgb="FFFFCC00"/>
      <rgbColor rgb="FFFF9900"/>
      <rgbColor rgb="FFFF6600"/>
      <rgbColor rgb="FF555555"/>
      <rgbColor rgb="FF96989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56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4"/>
      <c r="C5" s="4"/>
    </row>
    <row r="6" customFormat="false" ht="23.85" hidden="false" customHeight="false" outlineLevel="0" collapsed="false">
      <c r="A6" s="5" t="s">
        <v>6</v>
      </c>
      <c r="B6" s="5" t="s">
        <v>7</v>
      </c>
      <c r="C6" s="5" t="s">
        <v>8</v>
      </c>
    </row>
    <row r="7" customFormat="false" ht="23.85" hidden="false" customHeight="false" outlineLevel="0" collapsed="false">
      <c r="A7" s="6" t="s">
        <v>9</v>
      </c>
      <c r="B7" s="6" t="s">
        <v>10</v>
      </c>
      <c r="C7" s="6" t="s">
        <v>11</v>
      </c>
    </row>
    <row r="8" customFormat="false" ht="23.85" hidden="false" customHeight="false" outlineLevel="0" collapsed="false">
      <c r="A8" s="5" t="s">
        <v>12</v>
      </c>
      <c r="B8" s="5" t="s">
        <v>13</v>
      </c>
      <c r="C8" s="5" t="s">
        <v>14</v>
      </c>
    </row>
    <row r="9" customFormat="false" ht="15" hidden="false" customHeight="false" outlineLevel="0" collapsed="false">
      <c r="A9" s="6"/>
      <c r="B9" s="6"/>
      <c r="C9" s="6"/>
    </row>
    <row r="10" customFormat="false" ht="15" hidden="false" customHeight="false" outlineLevel="0" collapsed="false">
      <c r="A10" s="7" t="s">
        <v>15</v>
      </c>
      <c r="B10" s="7"/>
      <c r="C10" s="7"/>
    </row>
    <row r="11" customFormat="false" ht="23.85" hidden="false" customHeight="false" outlineLevel="0" collapsed="false">
      <c r="A11" s="6" t="s">
        <v>16</v>
      </c>
      <c r="B11" s="6" t="s">
        <v>17</v>
      </c>
      <c r="C11" s="6" t="s">
        <v>18</v>
      </c>
    </row>
    <row r="12" customFormat="false" ht="15" hidden="false" customHeight="false" outlineLevel="0" collapsed="false">
      <c r="A12" s="5" t="s">
        <v>19</v>
      </c>
      <c r="B12" s="5" t="s">
        <v>20</v>
      </c>
      <c r="C12" s="5" t="s">
        <v>21</v>
      </c>
    </row>
    <row r="13" customFormat="false" ht="23.85" hidden="false" customHeight="false" outlineLevel="0" collapsed="false">
      <c r="A13" s="6" t="s">
        <v>22</v>
      </c>
      <c r="B13" s="6" t="s">
        <v>23</v>
      </c>
      <c r="C13" s="6" t="s">
        <v>24</v>
      </c>
    </row>
    <row r="14" customFormat="false" ht="15" hidden="false" customHeight="false" outlineLevel="0" collapsed="false">
      <c r="A14" s="5"/>
      <c r="B14" s="5"/>
      <c r="C14" s="5"/>
    </row>
    <row r="15" customFormat="false" ht="15" hidden="false" customHeight="false" outlineLevel="0" collapsed="false">
      <c r="A15" s="4" t="s">
        <v>25</v>
      </c>
      <c r="B15" s="4"/>
      <c r="C15" s="4"/>
    </row>
    <row r="16" customFormat="false" ht="23.85" hidden="false" customHeight="false" outlineLevel="0" collapsed="false">
      <c r="A16" s="5" t="s">
        <v>26</v>
      </c>
      <c r="B16" s="5" t="s">
        <v>27</v>
      </c>
      <c r="C16" s="5" t="s">
        <v>28</v>
      </c>
    </row>
    <row r="17" customFormat="false" ht="23.85" hidden="false" customHeight="false" outlineLevel="0" collapsed="false">
      <c r="A17" s="6" t="s">
        <v>29</v>
      </c>
      <c r="B17" s="6" t="s">
        <v>30</v>
      </c>
      <c r="C17" s="6" t="s">
        <v>31</v>
      </c>
    </row>
    <row r="18" customFormat="false" ht="23.85" hidden="false" customHeight="false" outlineLevel="0" collapsed="false">
      <c r="A18" s="5" t="s">
        <v>32</v>
      </c>
      <c r="B18" s="5" t="s">
        <v>33</v>
      </c>
      <c r="C18" s="5" t="s">
        <v>34</v>
      </c>
    </row>
    <row r="19" customFormat="false" ht="15" hidden="false" customHeight="false" outlineLevel="0" collapsed="false">
      <c r="A19" s="6"/>
      <c r="B19" s="6"/>
      <c r="C19" s="6"/>
    </row>
    <row r="20" customFormat="false" ht="15" hidden="false" customHeight="false" outlineLevel="0" collapsed="false">
      <c r="A20" s="7" t="s">
        <v>35</v>
      </c>
      <c r="B20" s="7"/>
      <c r="C20" s="7"/>
    </row>
    <row r="21" customFormat="false" ht="23.85" hidden="false" customHeight="false" outlineLevel="0" collapsed="false">
      <c r="A21" s="6" t="s">
        <v>36</v>
      </c>
      <c r="B21" s="6" t="s">
        <v>37</v>
      </c>
      <c r="C21" s="6" t="s">
        <v>38</v>
      </c>
    </row>
    <row r="22" customFormat="false" ht="15" hidden="false" customHeight="false" outlineLevel="0" collapsed="false">
      <c r="A22" s="5" t="s">
        <v>39</v>
      </c>
      <c r="B22" s="5" t="s">
        <v>40</v>
      </c>
      <c r="C22" s="5" t="s">
        <v>41</v>
      </c>
    </row>
    <row r="23" customFormat="false" ht="15" hidden="false" customHeight="false" outlineLevel="0" collapsed="false">
      <c r="A23" s="6"/>
      <c r="B23" s="6"/>
      <c r="C23" s="6"/>
    </row>
    <row r="24" customFormat="false" ht="15" hidden="false" customHeight="false" outlineLevel="0" collapsed="false">
      <c r="A24" s="7" t="s">
        <v>42</v>
      </c>
      <c r="B24" s="7"/>
      <c r="C24" s="7"/>
    </row>
    <row r="25" customFormat="false" ht="23.85" hidden="false" customHeight="false" outlineLevel="0" collapsed="false">
      <c r="A25" s="6" t="s">
        <v>43</v>
      </c>
      <c r="B25" s="6" t="s">
        <v>44</v>
      </c>
      <c r="C25" s="6" t="s">
        <v>45</v>
      </c>
    </row>
    <row r="26" customFormat="false" ht="23.85" hidden="false" customHeight="false" outlineLevel="0" collapsed="false">
      <c r="A26" s="5" t="s">
        <v>46</v>
      </c>
      <c r="B26" s="5" t="s">
        <v>47</v>
      </c>
      <c r="C26" s="5" t="s">
        <v>48</v>
      </c>
    </row>
    <row r="27" customFormat="false" ht="23.85" hidden="false" customHeight="false" outlineLevel="0" collapsed="false">
      <c r="A27" s="6" t="s">
        <v>49</v>
      </c>
      <c r="B27" s="6" t="s">
        <v>50</v>
      </c>
      <c r="C27" s="6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44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62"/>
    <col collapsed="false" customWidth="true" hidden="false" outlineLevel="0" max="8" min="8" style="0" width="66"/>
  </cols>
  <sheetData>
    <row r="1" customFormat="false" ht="17.35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53</v>
      </c>
    </row>
    <row r="4" customFormat="false" ht="31.5" hidden="false" customHeight="true" outlineLevel="0" collapsed="false">
      <c r="A4" s="3" t="s">
        <v>54</v>
      </c>
      <c r="B4" s="3" t="s">
        <v>55</v>
      </c>
      <c r="C4" s="3" t="s">
        <v>56</v>
      </c>
      <c r="D4" s="3" t="s">
        <v>57</v>
      </c>
      <c r="E4" s="3" t="s">
        <v>58</v>
      </c>
      <c r="F4" s="3" t="s">
        <v>59</v>
      </c>
      <c r="G4" s="3" t="s">
        <v>60</v>
      </c>
      <c r="H4" s="3" t="s">
        <v>61</v>
      </c>
    </row>
    <row r="5" customFormat="false" ht="23.85" hidden="false" customHeight="false" outlineLevel="0" collapsed="false">
      <c r="A5" s="8" t="s">
        <v>62</v>
      </c>
      <c r="B5" s="6" t="s">
        <v>63</v>
      </c>
      <c r="C5" s="9" t="s">
        <v>64</v>
      </c>
      <c r="D5" s="8" t="s">
        <v>65</v>
      </c>
      <c r="E5" s="8" t="s">
        <v>66</v>
      </c>
      <c r="F5" s="10" t="s">
        <v>67</v>
      </c>
      <c r="G5" s="6" t="s">
        <v>68</v>
      </c>
      <c r="H5" s="6" t="s">
        <v>69</v>
      </c>
    </row>
    <row r="6" customFormat="false" ht="23.85" hidden="false" customHeight="false" outlineLevel="0" collapsed="false">
      <c r="A6" s="11" t="s">
        <v>62</v>
      </c>
      <c r="B6" s="5" t="s">
        <v>63</v>
      </c>
      <c r="C6" s="12" t="s">
        <v>70</v>
      </c>
      <c r="D6" s="11" t="s">
        <v>65</v>
      </c>
      <c r="E6" s="11" t="s">
        <v>66</v>
      </c>
      <c r="F6" s="13" t="s">
        <v>67</v>
      </c>
      <c r="G6" s="5" t="s">
        <v>71</v>
      </c>
      <c r="H6" s="5" t="s">
        <v>72</v>
      </c>
    </row>
    <row r="7" customFormat="false" ht="23.85" hidden="false" customHeight="false" outlineLevel="0" collapsed="false">
      <c r="A7" s="8" t="s">
        <v>62</v>
      </c>
      <c r="B7" s="6" t="s">
        <v>63</v>
      </c>
      <c r="C7" s="9" t="s">
        <v>73</v>
      </c>
      <c r="D7" s="8" t="s">
        <v>65</v>
      </c>
      <c r="E7" s="8" t="s">
        <v>66</v>
      </c>
      <c r="F7" s="10" t="s">
        <v>67</v>
      </c>
      <c r="G7" s="6" t="s">
        <v>74</v>
      </c>
      <c r="H7" s="6" t="s">
        <v>75</v>
      </c>
    </row>
    <row r="8" customFormat="false" ht="23.85" hidden="false" customHeight="false" outlineLevel="0" collapsed="false">
      <c r="A8" s="11" t="s">
        <v>62</v>
      </c>
      <c r="B8" s="5" t="s">
        <v>76</v>
      </c>
      <c r="C8" s="12" t="s">
        <v>77</v>
      </c>
      <c r="D8" s="11" t="s">
        <v>65</v>
      </c>
      <c r="E8" s="11" t="s">
        <v>78</v>
      </c>
      <c r="F8" s="13" t="s">
        <v>67</v>
      </c>
      <c r="G8" s="5" t="s">
        <v>79</v>
      </c>
      <c r="H8" s="5" t="s">
        <v>80</v>
      </c>
    </row>
    <row r="9" customFormat="false" ht="23.85" hidden="false" customHeight="false" outlineLevel="0" collapsed="false">
      <c r="A9" s="8" t="s">
        <v>62</v>
      </c>
      <c r="B9" s="6" t="s">
        <v>76</v>
      </c>
      <c r="C9" s="9" t="s">
        <v>81</v>
      </c>
      <c r="D9" s="8" t="s">
        <v>65</v>
      </c>
      <c r="E9" s="8" t="s">
        <v>78</v>
      </c>
      <c r="F9" s="10" t="s">
        <v>67</v>
      </c>
      <c r="G9" s="6" t="s">
        <v>82</v>
      </c>
      <c r="H9" s="6" t="s">
        <v>83</v>
      </c>
    </row>
    <row r="10" customFormat="false" ht="23.85" hidden="false" customHeight="false" outlineLevel="0" collapsed="false">
      <c r="A10" s="11" t="s">
        <v>62</v>
      </c>
      <c r="B10" s="5" t="s">
        <v>76</v>
      </c>
      <c r="C10" s="12" t="s">
        <v>84</v>
      </c>
      <c r="D10" s="11" t="s">
        <v>85</v>
      </c>
      <c r="E10" s="11" t="s">
        <v>78</v>
      </c>
      <c r="F10" s="13" t="s">
        <v>67</v>
      </c>
      <c r="G10" s="5" t="s">
        <v>86</v>
      </c>
      <c r="H10" s="5" t="s">
        <v>87</v>
      </c>
    </row>
    <row r="11" customFormat="false" ht="23.85" hidden="false" customHeight="false" outlineLevel="0" collapsed="false">
      <c r="A11" s="8" t="s">
        <v>62</v>
      </c>
      <c r="B11" s="6" t="s">
        <v>88</v>
      </c>
      <c r="C11" s="9" t="s">
        <v>89</v>
      </c>
      <c r="D11" s="8" t="s">
        <v>85</v>
      </c>
      <c r="E11" s="8" t="s">
        <v>90</v>
      </c>
      <c r="F11" s="8" t="s">
        <v>91</v>
      </c>
      <c r="G11" s="6" t="s">
        <v>92</v>
      </c>
      <c r="H11" s="6" t="s">
        <v>93</v>
      </c>
    </row>
    <row r="12" customFormat="false" ht="23.85" hidden="false" customHeight="false" outlineLevel="0" collapsed="false">
      <c r="A12" s="11" t="s">
        <v>62</v>
      </c>
      <c r="B12" s="5" t="s">
        <v>94</v>
      </c>
      <c r="C12" s="12" t="s">
        <v>95</v>
      </c>
      <c r="D12" s="11" t="s">
        <v>65</v>
      </c>
      <c r="E12" s="11" t="s">
        <v>96</v>
      </c>
      <c r="F12" s="13" t="s">
        <v>67</v>
      </c>
      <c r="G12" s="5" t="s">
        <v>97</v>
      </c>
      <c r="H12" s="5" t="s">
        <v>98</v>
      </c>
    </row>
    <row r="13" customFormat="false" ht="23.85" hidden="false" customHeight="false" outlineLevel="0" collapsed="false">
      <c r="A13" s="8" t="s">
        <v>99</v>
      </c>
      <c r="B13" s="6" t="s">
        <v>94</v>
      </c>
      <c r="C13" s="9" t="s">
        <v>100</v>
      </c>
      <c r="D13" s="8" t="s">
        <v>65</v>
      </c>
      <c r="E13" s="8" t="s">
        <v>96</v>
      </c>
      <c r="F13" s="10" t="s">
        <v>67</v>
      </c>
      <c r="G13" s="6" t="s">
        <v>101</v>
      </c>
      <c r="H13" s="6" t="s">
        <v>102</v>
      </c>
    </row>
    <row r="14" customFormat="false" ht="23.85" hidden="false" customHeight="false" outlineLevel="0" collapsed="false">
      <c r="A14" s="11" t="s">
        <v>62</v>
      </c>
      <c r="B14" s="5" t="s">
        <v>103</v>
      </c>
      <c r="C14" s="12" t="s">
        <v>104</v>
      </c>
      <c r="D14" s="11" t="s">
        <v>85</v>
      </c>
      <c r="E14" s="11" t="s">
        <v>105</v>
      </c>
      <c r="F14" s="13" t="s">
        <v>67</v>
      </c>
      <c r="G14" s="5" t="s">
        <v>106</v>
      </c>
      <c r="H14" s="5" t="s">
        <v>107</v>
      </c>
    </row>
    <row r="15" customFormat="false" ht="23.85" hidden="false" customHeight="false" outlineLevel="0" collapsed="false">
      <c r="A15" s="8" t="s">
        <v>99</v>
      </c>
      <c r="B15" s="6" t="s">
        <v>108</v>
      </c>
      <c r="C15" s="9" t="s">
        <v>109</v>
      </c>
      <c r="D15" s="8" t="s">
        <v>110</v>
      </c>
      <c r="E15" s="8" t="s">
        <v>111</v>
      </c>
      <c r="F15" s="8" t="s">
        <v>91</v>
      </c>
      <c r="G15" s="6" t="s">
        <v>112</v>
      </c>
      <c r="H15" s="6" t="s">
        <v>113</v>
      </c>
    </row>
    <row r="16" customFormat="false" ht="23.85" hidden="false" customHeight="false" outlineLevel="0" collapsed="false">
      <c r="A16" s="11" t="s">
        <v>99</v>
      </c>
      <c r="B16" s="5" t="s">
        <v>108</v>
      </c>
      <c r="C16" s="12" t="s">
        <v>114</v>
      </c>
      <c r="D16" s="11" t="s">
        <v>110</v>
      </c>
      <c r="E16" s="11" t="s">
        <v>111</v>
      </c>
      <c r="F16" s="11" t="s">
        <v>91</v>
      </c>
      <c r="G16" s="5" t="s">
        <v>115</v>
      </c>
      <c r="H16" s="5" t="s">
        <v>116</v>
      </c>
    </row>
    <row r="17" customFormat="false" ht="23.85" hidden="false" customHeight="false" outlineLevel="0" collapsed="false">
      <c r="A17" s="8" t="s">
        <v>62</v>
      </c>
      <c r="B17" s="6" t="s">
        <v>117</v>
      </c>
      <c r="C17" s="9" t="s">
        <v>118</v>
      </c>
      <c r="D17" s="8" t="s">
        <v>65</v>
      </c>
      <c r="E17" s="8" t="s">
        <v>119</v>
      </c>
      <c r="F17" s="10" t="s">
        <v>67</v>
      </c>
      <c r="G17" s="6" t="s">
        <v>120</v>
      </c>
      <c r="H17" s="6" t="s">
        <v>121</v>
      </c>
    </row>
    <row r="18" customFormat="false" ht="23.85" hidden="false" customHeight="false" outlineLevel="0" collapsed="false">
      <c r="A18" s="11" t="s">
        <v>62</v>
      </c>
      <c r="B18" s="5" t="s">
        <v>117</v>
      </c>
      <c r="C18" s="12" t="s">
        <v>122</v>
      </c>
      <c r="D18" s="11" t="s">
        <v>65</v>
      </c>
      <c r="E18" s="11" t="s">
        <v>119</v>
      </c>
      <c r="F18" s="13" t="s">
        <v>67</v>
      </c>
      <c r="G18" s="5" t="s">
        <v>123</v>
      </c>
      <c r="H18" s="5" t="s">
        <v>124</v>
      </c>
    </row>
    <row r="19" customFormat="false" ht="23.85" hidden="false" customHeight="false" outlineLevel="0" collapsed="false">
      <c r="A19" s="8" t="s">
        <v>99</v>
      </c>
      <c r="B19" s="6" t="s">
        <v>125</v>
      </c>
      <c r="C19" s="9" t="s">
        <v>126</v>
      </c>
      <c r="D19" s="8" t="s">
        <v>85</v>
      </c>
      <c r="E19" s="8" t="s">
        <v>127</v>
      </c>
      <c r="F19" s="10" t="s">
        <v>67</v>
      </c>
      <c r="G19" s="6" t="s">
        <v>128</v>
      </c>
      <c r="H19" s="6" t="s">
        <v>129</v>
      </c>
    </row>
    <row r="20" customFormat="false" ht="23.85" hidden="false" customHeight="false" outlineLevel="0" collapsed="false">
      <c r="A20" s="11" t="s">
        <v>99</v>
      </c>
      <c r="B20" s="5" t="s">
        <v>125</v>
      </c>
      <c r="C20" s="12" t="s">
        <v>130</v>
      </c>
      <c r="D20" s="11" t="s">
        <v>65</v>
      </c>
      <c r="E20" s="11" t="s">
        <v>127</v>
      </c>
      <c r="F20" s="13" t="s">
        <v>67</v>
      </c>
      <c r="G20" s="5" t="s">
        <v>131</v>
      </c>
      <c r="H20" s="5" t="s">
        <v>132</v>
      </c>
    </row>
    <row r="21" customFormat="false" ht="23.85" hidden="false" customHeight="false" outlineLevel="0" collapsed="false">
      <c r="A21" s="8" t="s">
        <v>99</v>
      </c>
      <c r="B21" s="6" t="s">
        <v>133</v>
      </c>
      <c r="C21" s="9" t="s">
        <v>134</v>
      </c>
      <c r="D21" s="8" t="s">
        <v>65</v>
      </c>
      <c r="E21" s="8" t="s">
        <v>135</v>
      </c>
      <c r="F21" s="10" t="s">
        <v>67</v>
      </c>
      <c r="G21" s="6" t="s">
        <v>136</v>
      </c>
      <c r="H21" s="6" t="s">
        <v>137</v>
      </c>
    </row>
    <row r="22" customFormat="false" ht="23.85" hidden="false" customHeight="false" outlineLevel="0" collapsed="false">
      <c r="A22" s="11" t="s">
        <v>99</v>
      </c>
      <c r="B22" s="5" t="s">
        <v>138</v>
      </c>
      <c r="C22" s="12" t="s">
        <v>139</v>
      </c>
      <c r="D22" s="11" t="s">
        <v>65</v>
      </c>
      <c r="E22" s="11" t="s">
        <v>90</v>
      </c>
      <c r="F22" s="11" t="s">
        <v>91</v>
      </c>
      <c r="G22" s="5" t="s">
        <v>140</v>
      </c>
      <c r="H22" s="5" t="s">
        <v>141</v>
      </c>
    </row>
    <row r="23" customFormat="false" ht="15" hidden="false" customHeight="false" outlineLevel="0" collapsed="false">
      <c r="A23" s="8" t="s">
        <v>142</v>
      </c>
      <c r="B23" s="6" t="s">
        <v>143</v>
      </c>
      <c r="C23" s="9" t="s">
        <v>144</v>
      </c>
      <c r="D23" s="8" t="s">
        <v>85</v>
      </c>
      <c r="E23" s="8" t="s">
        <v>105</v>
      </c>
      <c r="F23" s="10" t="s">
        <v>67</v>
      </c>
      <c r="G23" s="6" t="s">
        <v>145</v>
      </c>
      <c r="H23" s="6" t="s">
        <v>146</v>
      </c>
    </row>
    <row r="24" customFormat="false" ht="23.85" hidden="false" customHeight="false" outlineLevel="0" collapsed="false">
      <c r="A24" s="11" t="s">
        <v>62</v>
      </c>
      <c r="B24" s="5" t="s">
        <v>147</v>
      </c>
      <c r="C24" s="12" t="s">
        <v>148</v>
      </c>
      <c r="D24" s="11" t="s">
        <v>149</v>
      </c>
      <c r="E24" s="11" t="s">
        <v>150</v>
      </c>
      <c r="F24" s="11" t="s">
        <v>91</v>
      </c>
      <c r="G24" s="5" t="s">
        <v>151</v>
      </c>
      <c r="H24" s="5" t="s">
        <v>152</v>
      </c>
    </row>
    <row r="25" customFormat="false" ht="23.85" hidden="false" customHeight="false" outlineLevel="0" collapsed="false">
      <c r="A25" s="8" t="s">
        <v>99</v>
      </c>
      <c r="B25" s="6" t="s">
        <v>147</v>
      </c>
      <c r="C25" s="9" t="s">
        <v>153</v>
      </c>
      <c r="D25" s="8" t="s">
        <v>149</v>
      </c>
      <c r="E25" s="8" t="s">
        <v>154</v>
      </c>
      <c r="F25" s="8" t="s">
        <v>91</v>
      </c>
      <c r="G25" s="6" t="s">
        <v>155</v>
      </c>
      <c r="H25" s="6" t="s">
        <v>156</v>
      </c>
    </row>
    <row r="26" customFormat="false" ht="23.85" hidden="false" customHeight="false" outlineLevel="0" collapsed="false">
      <c r="A26" s="11" t="s">
        <v>62</v>
      </c>
      <c r="B26" s="14" t="s">
        <v>157</v>
      </c>
      <c r="C26" s="12" t="s">
        <v>158</v>
      </c>
      <c r="D26" s="11" t="s">
        <v>85</v>
      </c>
      <c r="E26" s="11" t="s">
        <v>159</v>
      </c>
      <c r="F26" s="11" t="s">
        <v>91</v>
      </c>
      <c r="G26" s="5" t="s">
        <v>160</v>
      </c>
      <c r="H26" s="5" t="s">
        <v>161</v>
      </c>
    </row>
    <row r="27" customFormat="false" ht="23.85" hidden="false" customHeight="false" outlineLevel="0" collapsed="false">
      <c r="A27" s="8" t="s">
        <v>62</v>
      </c>
      <c r="B27" s="15" t="s">
        <v>157</v>
      </c>
      <c r="C27" s="9" t="s">
        <v>162</v>
      </c>
      <c r="D27" s="8" t="s">
        <v>85</v>
      </c>
      <c r="E27" s="8" t="s">
        <v>159</v>
      </c>
      <c r="F27" s="8" t="s">
        <v>91</v>
      </c>
      <c r="G27" s="6" t="s">
        <v>163</v>
      </c>
      <c r="H27" s="6" t="s">
        <v>164</v>
      </c>
    </row>
    <row r="28" customFormat="false" ht="23.85" hidden="false" customHeight="false" outlineLevel="0" collapsed="false">
      <c r="A28" s="11" t="s">
        <v>62</v>
      </c>
      <c r="B28" s="14" t="s">
        <v>157</v>
      </c>
      <c r="C28" s="12" t="s">
        <v>165</v>
      </c>
      <c r="D28" s="11" t="s">
        <v>65</v>
      </c>
      <c r="E28" s="11" t="s">
        <v>159</v>
      </c>
      <c r="F28" s="11" t="s">
        <v>91</v>
      </c>
      <c r="G28" s="5" t="s">
        <v>166</v>
      </c>
      <c r="H28" s="5" t="s">
        <v>167</v>
      </c>
    </row>
    <row r="29" customFormat="false" ht="15" hidden="false" customHeight="false" outlineLevel="0" collapsed="false">
      <c r="A29" s="8" t="s">
        <v>99</v>
      </c>
      <c r="B29" s="15" t="s">
        <v>157</v>
      </c>
      <c r="C29" s="9" t="s">
        <v>168</v>
      </c>
      <c r="D29" s="8" t="s">
        <v>65</v>
      </c>
      <c r="E29" s="8" t="s">
        <v>159</v>
      </c>
      <c r="F29" s="8" t="s">
        <v>91</v>
      </c>
      <c r="G29" s="6" t="s">
        <v>169</v>
      </c>
      <c r="H29" s="6" t="s">
        <v>170</v>
      </c>
    </row>
    <row r="30" customFormat="false" ht="15" hidden="false" customHeight="false" outlineLevel="0" collapsed="false">
      <c r="A30" s="11" t="s">
        <v>99</v>
      </c>
      <c r="B30" s="14" t="s">
        <v>157</v>
      </c>
      <c r="C30" s="12" t="s">
        <v>171</v>
      </c>
      <c r="D30" s="11" t="s">
        <v>149</v>
      </c>
      <c r="E30" s="11" t="s">
        <v>159</v>
      </c>
      <c r="F30" s="11" t="s">
        <v>91</v>
      </c>
      <c r="G30" s="5" t="s">
        <v>172</v>
      </c>
      <c r="H30" s="5" t="s">
        <v>173</v>
      </c>
    </row>
    <row r="31" customFormat="false" ht="15" hidden="false" customHeight="false" outlineLevel="0" collapsed="false">
      <c r="A31" s="8" t="s">
        <v>99</v>
      </c>
      <c r="B31" s="15" t="s">
        <v>157</v>
      </c>
      <c r="C31" s="9" t="s">
        <v>174</v>
      </c>
      <c r="D31" s="8" t="s">
        <v>110</v>
      </c>
      <c r="E31" s="8" t="s">
        <v>159</v>
      </c>
      <c r="F31" s="8" t="s">
        <v>91</v>
      </c>
      <c r="G31" s="6" t="s">
        <v>175</v>
      </c>
      <c r="H31" s="6" t="s">
        <v>176</v>
      </c>
    </row>
    <row r="32" customFormat="false" ht="23.85" hidden="false" customHeight="false" outlineLevel="0" collapsed="false">
      <c r="A32" s="11" t="s">
        <v>99</v>
      </c>
      <c r="B32" s="14" t="s">
        <v>157</v>
      </c>
      <c r="C32" s="12" t="s">
        <v>177</v>
      </c>
      <c r="D32" s="11" t="s">
        <v>65</v>
      </c>
      <c r="E32" s="11" t="s">
        <v>159</v>
      </c>
      <c r="F32" s="11" t="s">
        <v>91</v>
      </c>
      <c r="G32" s="5" t="s">
        <v>178</v>
      </c>
      <c r="H32" s="5" t="s">
        <v>179</v>
      </c>
    </row>
    <row r="33" customFormat="false" ht="15" hidden="false" customHeight="false" outlineLevel="0" collapsed="false">
      <c r="A33" s="8" t="s">
        <v>62</v>
      </c>
      <c r="B33" s="15" t="s">
        <v>180</v>
      </c>
      <c r="C33" s="9" t="s">
        <v>181</v>
      </c>
      <c r="D33" s="8" t="s">
        <v>65</v>
      </c>
      <c r="E33" s="8" t="s">
        <v>182</v>
      </c>
      <c r="F33" s="8" t="s">
        <v>91</v>
      </c>
      <c r="G33" s="6" t="s">
        <v>183</v>
      </c>
      <c r="H33" s="6" t="s">
        <v>184</v>
      </c>
    </row>
    <row r="34" customFormat="false" ht="15" hidden="false" customHeight="false" outlineLevel="0" collapsed="false">
      <c r="A34" s="11" t="s">
        <v>99</v>
      </c>
      <c r="B34" s="14" t="s">
        <v>180</v>
      </c>
      <c r="C34" s="12" t="s">
        <v>185</v>
      </c>
      <c r="D34" s="11" t="s">
        <v>65</v>
      </c>
      <c r="E34" s="11" t="s">
        <v>182</v>
      </c>
      <c r="F34" s="11" t="s">
        <v>91</v>
      </c>
      <c r="G34" s="5" t="s">
        <v>186</v>
      </c>
      <c r="H34" s="5" t="s">
        <v>187</v>
      </c>
    </row>
    <row r="35" customFormat="false" ht="15" hidden="false" customHeight="false" outlineLevel="0" collapsed="false">
      <c r="A35" s="8" t="s">
        <v>99</v>
      </c>
      <c r="B35" s="15" t="s">
        <v>180</v>
      </c>
      <c r="C35" s="9" t="s">
        <v>188</v>
      </c>
      <c r="D35" s="8" t="s">
        <v>110</v>
      </c>
      <c r="E35" s="8" t="s">
        <v>182</v>
      </c>
      <c r="F35" s="8" t="s">
        <v>91</v>
      </c>
      <c r="G35" s="6" t="s">
        <v>189</v>
      </c>
      <c r="H35" s="6" t="s">
        <v>190</v>
      </c>
    </row>
    <row r="36" customFormat="false" ht="15" hidden="false" customHeight="false" outlineLevel="0" collapsed="false">
      <c r="A36" s="11" t="s">
        <v>142</v>
      </c>
      <c r="B36" s="14" t="s">
        <v>180</v>
      </c>
      <c r="C36" s="12" t="s">
        <v>191</v>
      </c>
      <c r="D36" s="11" t="s">
        <v>110</v>
      </c>
      <c r="E36" s="11" t="s">
        <v>182</v>
      </c>
      <c r="F36" s="11" t="s">
        <v>91</v>
      </c>
      <c r="G36" s="5" t="s">
        <v>192</v>
      </c>
      <c r="H36" s="5" t="s">
        <v>193</v>
      </c>
    </row>
    <row r="37" customFormat="false" ht="15" hidden="false" customHeight="false" outlineLevel="0" collapsed="false">
      <c r="A37" s="8" t="s">
        <v>142</v>
      </c>
      <c r="B37" s="15" t="s">
        <v>194</v>
      </c>
      <c r="C37" s="9" t="s">
        <v>195</v>
      </c>
      <c r="D37" s="8" t="s">
        <v>196</v>
      </c>
      <c r="E37" s="8" t="s">
        <v>197</v>
      </c>
      <c r="F37" s="10" t="s">
        <v>67</v>
      </c>
      <c r="G37" s="6" t="s">
        <v>198</v>
      </c>
      <c r="H37" s="6" t="s">
        <v>199</v>
      </c>
    </row>
    <row r="38" customFormat="false" ht="15" hidden="false" customHeight="false" outlineLevel="0" collapsed="false">
      <c r="A38" s="11" t="s">
        <v>142</v>
      </c>
      <c r="B38" s="14" t="s">
        <v>194</v>
      </c>
      <c r="C38" s="12" t="s">
        <v>200</v>
      </c>
      <c r="D38" s="11" t="s">
        <v>196</v>
      </c>
      <c r="E38" s="11" t="s">
        <v>197</v>
      </c>
      <c r="F38" s="13" t="s">
        <v>67</v>
      </c>
      <c r="G38" s="5" t="s">
        <v>201</v>
      </c>
      <c r="H38" s="5" t="s">
        <v>202</v>
      </c>
    </row>
    <row r="39" customFormat="false" ht="23.85" hidden="false" customHeight="false" outlineLevel="0" collapsed="false">
      <c r="A39" s="8" t="s">
        <v>62</v>
      </c>
      <c r="B39" s="15" t="s">
        <v>203</v>
      </c>
      <c r="C39" s="9" t="s">
        <v>204</v>
      </c>
      <c r="D39" s="8" t="s">
        <v>110</v>
      </c>
      <c r="E39" s="8" t="s">
        <v>205</v>
      </c>
      <c r="F39" s="10" t="s">
        <v>67</v>
      </c>
      <c r="G39" s="6" t="s">
        <v>206</v>
      </c>
      <c r="H39" s="6" t="s">
        <v>207</v>
      </c>
    </row>
    <row r="40" customFormat="false" ht="23.85" hidden="false" customHeight="false" outlineLevel="0" collapsed="false">
      <c r="A40" s="11" t="s">
        <v>62</v>
      </c>
      <c r="B40" s="14" t="s">
        <v>203</v>
      </c>
      <c r="C40" s="12" t="s">
        <v>208</v>
      </c>
      <c r="D40" s="11" t="s">
        <v>110</v>
      </c>
      <c r="E40" s="11" t="s">
        <v>205</v>
      </c>
      <c r="F40" s="13" t="s">
        <v>67</v>
      </c>
      <c r="G40" s="5" t="s">
        <v>209</v>
      </c>
      <c r="H40" s="5" t="s">
        <v>210</v>
      </c>
    </row>
    <row r="41" customFormat="false" ht="15" hidden="false" customHeight="false" outlineLevel="0" collapsed="false">
      <c r="A41" s="8" t="s">
        <v>99</v>
      </c>
      <c r="B41" s="15" t="s">
        <v>203</v>
      </c>
      <c r="C41" s="9" t="s">
        <v>211</v>
      </c>
      <c r="D41" s="8" t="s">
        <v>110</v>
      </c>
      <c r="E41" s="8" t="s">
        <v>205</v>
      </c>
      <c r="F41" s="10" t="s">
        <v>67</v>
      </c>
      <c r="G41" s="6" t="s">
        <v>212</v>
      </c>
      <c r="H41" s="6" t="s">
        <v>213</v>
      </c>
    </row>
    <row r="42" customFormat="false" ht="15" hidden="false" customHeight="false" outlineLevel="0" collapsed="false">
      <c r="A42" s="11" t="s">
        <v>99</v>
      </c>
      <c r="B42" s="14" t="s">
        <v>203</v>
      </c>
      <c r="C42" s="12" t="s">
        <v>214</v>
      </c>
      <c r="D42" s="11" t="s">
        <v>110</v>
      </c>
      <c r="E42" s="11" t="s">
        <v>205</v>
      </c>
      <c r="F42" s="13" t="s">
        <v>67</v>
      </c>
      <c r="G42" s="5" t="s">
        <v>215</v>
      </c>
      <c r="H42" s="5" t="s">
        <v>216</v>
      </c>
    </row>
    <row r="43" customFormat="false" ht="23.85" hidden="false" customHeight="false" outlineLevel="0" collapsed="false">
      <c r="A43" s="8" t="s">
        <v>99</v>
      </c>
      <c r="B43" s="15" t="s">
        <v>203</v>
      </c>
      <c r="C43" s="9" t="s">
        <v>217</v>
      </c>
      <c r="D43" s="8" t="s">
        <v>149</v>
      </c>
      <c r="E43" s="8" t="s">
        <v>205</v>
      </c>
      <c r="F43" s="10" t="s">
        <v>67</v>
      </c>
      <c r="G43" s="6" t="s">
        <v>218</v>
      </c>
      <c r="H43" s="6" t="s">
        <v>219</v>
      </c>
    </row>
    <row r="44" customFormat="false" ht="15" hidden="false" customHeight="false" outlineLevel="0" collapsed="false">
      <c r="A44" s="11" t="s">
        <v>142</v>
      </c>
      <c r="B44" s="14" t="s">
        <v>203</v>
      </c>
      <c r="C44" s="12" t="s">
        <v>220</v>
      </c>
      <c r="D44" s="11" t="s">
        <v>196</v>
      </c>
      <c r="E44" s="11" t="s">
        <v>205</v>
      </c>
      <c r="F44" s="13" t="s">
        <v>67</v>
      </c>
      <c r="G44" s="5" t="s">
        <v>221</v>
      </c>
      <c r="H44" s="5" t="s">
        <v>222</v>
      </c>
    </row>
    <row r="45" customFormat="false" ht="23.85" hidden="false" customHeight="false" outlineLevel="0" collapsed="false">
      <c r="A45" s="8" t="s">
        <v>142</v>
      </c>
      <c r="B45" s="15" t="s">
        <v>223</v>
      </c>
      <c r="C45" s="9" t="s">
        <v>224</v>
      </c>
      <c r="D45" s="8" t="s">
        <v>196</v>
      </c>
      <c r="E45" s="8" t="s">
        <v>197</v>
      </c>
      <c r="F45" s="10" t="s">
        <v>67</v>
      </c>
      <c r="G45" s="6" t="s">
        <v>225</v>
      </c>
      <c r="H45" s="6" t="s">
        <v>226</v>
      </c>
    </row>
    <row r="46" customFormat="false" ht="15" hidden="false" customHeight="false" outlineLevel="0" collapsed="false">
      <c r="A46" s="11" t="s">
        <v>142</v>
      </c>
      <c r="B46" s="14" t="s">
        <v>223</v>
      </c>
      <c r="C46" s="12" t="s">
        <v>227</v>
      </c>
      <c r="D46" s="11" t="s">
        <v>196</v>
      </c>
      <c r="E46" s="11" t="s">
        <v>197</v>
      </c>
      <c r="F46" s="13" t="s">
        <v>67</v>
      </c>
      <c r="G46" s="5" t="s">
        <v>228</v>
      </c>
      <c r="H46" s="5" t="s">
        <v>229</v>
      </c>
    </row>
    <row r="47" customFormat="false" ht="23.85" hidden="false" customHeight="false" outlineLevel="0" collapsed="false">
      <c r="A47" s="8" t="s">
        <v>62</v>
      </c>
      <c r="B47" s="15" t="s">
        <v>230</v>
      </c>
      <c r="C47" s="9" t="s">
        <v>231</v>
      </c>
      <c r="D47" s="8" t="s">
        <v>65</v>
      </c>
      <c r="E47" s="8" t="s">
        <v>232</v>
      </c>
      <c r="F47" s="10" t="s">
        <v>67</v>
      </c>
      <c r="G47" s="6" t="s">
        <v>233</v>
      </c>
      <c r="H47" s="6" t="s">
        <v>234</v>
      </c>
    </row>
    <row r="48" customFormat="false" ht="15" hidden="false" customHeight="false" outlineLevel="0" collapsed="false">
      <c r="A48" s="11" t="s">
        <v>62</v>
      </c>
      <c r="B48" s="14" t="s">
        <v>230</v>
      </c>
      <c r="C48" s="12" t="s">
        <v>235</v>
      </c>
      <c r="D48" s="11" t="s">
        <v>65</v>
      </c>
      <c r="E48" s="11" t="s">
        <v>232</v>
      </c>
      <c r="F48" s="13" t="s">
        <v>67</v>
      </c>
      <c r="G48" s="5" t="s">
        <v>236</v>
      </c>
      <c r="H48" s="5" t="s">
        <v>237</v>
      </c>
    </row>
    <row r="49" customFormat="false" ht="15" hidden="false" customHeight="false" outlineLevel="0" collapsed="false">
      <c r="A49" s="8" t="s">
        <v>99</v>
      </c>
      <c r="B49" s="15" t="s">
        <v>230</v>
      </c>
      <c r="C49" s="9" t="s">
        <v>238</v>
      </c>
      <c r="D49" s="8" t="s">
        <v>110</v>
      </c>
      <c r="E49" s="8" t="s">
        <v>232</v>
      </c>
      <c r="F49" s="10" t="s">
        <v>67</v>
      </c>
      <c r="G49" s="6" t="s">
        <v>239</v>
      </c>
      <c r="H49" s="6" t="s">
        <v>240</v>
      </c>
    </row>
    <row r="50" customFormat="false" ht="15" hidden="false" customHeight="false" outlineLevel="0" collapsed="false">
      <c r="A50" s="11" t="s">
        <v>99</v>
      </c>
      <c r="B50" s="14" t="s">
        <v>230</v>
      </c>
      <c r="C50" s="12" t="s">
        <v>241</v>
      </c>
      <c r="D50" s="11" t="s">
        <v>110</v>
      </c>
      <c r="E50" s="11" t="s">
        <v>232</v>
      </c>
      <c r="F50" s="13" t="s">
        <v>67</v>
      </c>
      <c r="G50" s="5" t="s">
        <v>242</v>
      </c>
      <c r="H50" s="5" t="s">
        <v>243</v>
      </c>
    </row>
    <row r="51" customFormat="false" ht="15" hidden="false" customHeight="false" outlineLevel="0" collapsed="false">
      <c r="A51" s="8" t="s">
        <v>142</v>
      </c>
      <c r="B51" s="15" t="s">
        <v>230</v>
      </c>
      <c r="C51" s="9" t="s">
        <v>244</v>
      </c>
      <c r="D51" s="8" t="s">
        <v>110</v>
      </c>
      <c r="E51" s="8" t="s">
        <v>232</v>
      </c>
      <c r="F51" s="10" t="s">
        <v>67</v>
      </c>
      <c r="G51" s="6" t="s">
        <v>245</v>
      </c>
      <c r="H51" s="6" t="s">
        <v>246</v>
      </c>
    </row>
    <row r="52" customFormat="false" ht="15" hidden="false" customHeight="false" outlineLevel="0" collapsed="false">
      <c r="A52" s="11" t="s">
        <v>99</v>
      </c>
      <c r="B52" s="14" t="s">
        <v>247</v>
      </c>
      <c r="C52" s="12" t="s">
        <v>248</v>
      </c>
      <c r="D52" s="11" t="s">
        <v>85</v>
      </c>
      <c r="E52" s="11" t="s">
        <v>249</v>
      </c>
      <c r="F52" s="13" t="s">
        <v>67</v>
      </c>
      <c r="G52" s="5" t="s">
        <v>250</v>
      </c>
      <c r="H52" s="5" t="s">
        <v>251</v>
      </c>
    </row>
    <row r="53" customFormat="false" ht="15" hidden="false" customHeight="false" outlineLevel="0" collapsed="false">
      <c r="A53" s="8" t="s">
        <v>99</v>
      </c>
      <c r="B53" s="15" t="s">
        <v>247</v>
      </c>
      <c r="C53" s="9" t="s">
        <v>252</v>
      </c>
      <c r="D53" s="8" t="s">
        <v>110</v>
      </c>
      <c r="E53" s="8" t="s">
        <v>249</v>
      </c>
      <c r="F53" s="10" t="s">
        <v>67</v>
      </c>
      <c r="G53" s="6" t="s">
        <v>253</v>
      </c>
      <c r="H53" s="6" t="s">
        <v>254</v>
      </c>
    </row>
    <row r="54" customFormat="false" ht="15" hidden="false" customHeight="false" outlineLevel="0" collapsed="false">
      <c r="A54" s="11" t="s">
        <v>142</v>
      </c>
      <c r="B54" s="14" t="s">
        <v>247</v>
      </c>
      <c r="C54" s="12" t="s">
        <v>255</v>
      </c>
      <c r="D54" s="11" t="s">
        <v>65</v>
      </c>
      <c r="E54" s="11" t="s">
        <v>249</v>
      </c>
      <c r="F54" s="13" t="s">
        <v>67</v>
      </c>
      <c r="G54" s="5" t="s">
        <v>256</v>
      </c>
      <c r="H54" s="5" t="s">
        <v>257</v>
      </c>
    </row>
    <row r="55" customFormat="false" ht="23.85" hidden="false" customHeight="false" outlineLevel="0" collapsed="false">
      <c r="A55" s="8" t="s">
        <v>99</v>
      </c>
      <c r="B55" s="15" t="s">
        <v>258</v>
      </c>
      <c r="C55" s="9" t="s">
        <v>259</v>
      </c>
      <c r="D55" s="8" t="s">
        <v>110</v>
      </c>
      <c r="E55" s="8" t="s">
        <v>260</v>
      </c>
      <c r="F55" s="10" t="s">
        <v>67</v>
      </c>
      <c r="G55" s="6" t="s">
        <v>261</v>
      </c>
      <c r="H55" s="6" t="s">
        <v>262</v>
      </c>
    </row>
    <row r="56" customFormat="false" ht="15" hidden="false" customHeight="false" outlineLevel="0" collapsed="false">
      <c r="A56" s="11" t="s">
        <v>99</v>
      </c>
      <c r="B56" s="14" t="s">
        <v>258</v>
      </c>
      <c r="C56" s="12" t="s">
        <v>263</v>
      </c>
      <c r="D56" s="11" t="s">
        <v>110</v>
      </c>
      <c r="E56" s="11" t="s">
        <v>260</v>
      </c>
      <c r="F56" s="13" t="s">
        <v>67</v>
      </c>
      <c r="G56" s="5" t="s">
        <v>264</v>
      </c>
      <c r="H56" s="5" t="s">
        <v>265</v>
      </c>
    </row>
    <row r="57" customFormat="false" ht="15" hidden="false" customHeight="false" outlineLevel="0" collapsed="false">
      <c r="A57" s="8" t="s">
        <v>142</v>
      </c>
      <c r="B57" s="15" t="s">
        <v>258</v>
      </c>
      <c r="C57" s="9" t="s">
        <v>266</v>
      </c>
      <c r="D57" s="8" t="s">
        <v>110</v>
      </c>
      <c r="E57" s="8" t="s">
        <v>260</v>
      </c>
      <c r="F57" s="10" t="s">
        <v>67</v>
      </c>
      <c r="G57" s="6" t="s">
        <v>267</v>
      </c>
      <c r="H57" s="6" t="s">
        <v>268</v>
      </c>
    </row>
    <row r="58" customFormat="false" ht="15" hidden="false" customHeight="false" outlineLevel="0" collapsed="false">
      <c r="A58" s="11" t="s">
        <v>142</v>
      </c>
      <c r="B58" s="14" t="s">
        <v>258</v>
      </c>
      <c r="C58" s="12" t="s">
        <v>269</v>
      </c>
      <c r="D58" s="11" t="s">
        <v>65</v>
      </c>
      <c r="E58" s="11" t="s">
        <v>197</v>
      </c>
      <c r="F58" s="13" t="s">
        <v>67</v>
      </c>
      <c r="G58" s="5" t="s">
        <v>270</v>
      </c>
      <c r="H58" s="5" t="s">
        <v>271</v>
      </c>
    </row>
    <row r="59" customFormat="false" ht="23.85" hidden="false" customHeight="false" outlineLevel="0" collapsed="false">
      <c r="A59" s="8" t="s">
        <v>62</v>
      </c>
      <c r="B59" s="15" t="s">
        <v>272</v>
      </c>
      <c r="C59" s="9" t="s">
        <v>273</v>
      </c>
      <c r="D59" s="8" t="s">
        <v>110</v>
      </c>
      <c r="E59" s="8" t="s">
        <v>274</v>
      </c>
      <c r="F59" s="10" t="s">
        <v>67</v>
      </c>
      <c r="G59" s="6" t="s">
        <v>275</v>
      </c>
      <c r="H59" s="6" t="s">
        <v>276</v>
      </c>
    </row>
    <row r="60" customFormat="false" ht="15" hidden="false" customHeight="false" outlineLevel="0" collapsed="false">
      <c r="A60" s="11" t="s">
        <v>62</v>
      </c>
      <c r="B60" s="14" t="s">
        <v>272</v>
      </c>
      <c r="C60" s="12" t="s">
        <v>277</v>
      </c>
      <c r="D60" s="11" t="s">
        <v>65</v>
      </c>
      <c r="E60" s="11" t="s">
        <v>274</v>
      </c>
      <c r="F60" s="13" t="s">
        <v>67</v>
      </c>
      <c r="G60" s="5" t="s">
        <v>278</v>
      </c>
      <c r="H60" s="5" t="s">
        <v>279</v>
      </c>
    </row>
    <row r="61" customFormat="false" ht="15" hidden="false" customHeight="false" outlineLevel="0" collapsed="false">
      <c r="A61" s="8" t="s">
        <v>99</v>
      </c>
      <c r="B61" s="15" t="s">
        <v>272</v>
      </c>
      <c r="C61" s="9" t="s">
        <v>280</v>
      </c>
      <c r="D61" s="8" t="s">
        <v>85</v>
      </c>
      <c r="E61" s="8" t="s">
        <v>274</v>
      </c>
      <c r="F61" s="10" t="s">
        <v>67</v>
      </c>
      <c r="G61" s="6" t="s">
        <v>281</v>
      </c>
      <c r="H61" s="6" t="s">
        <v>282</v>
      </c>
    </row>
    <row r="62" customFormat="false" ht="15" hidden="false" customHeight="false" outlineLevel="0" collapsed="false">
      <c r="A62" s="11" t="s">
        <v>99</v>
      </c>
      <c r="B62" s="14" t="s">
        <v>272</v>
      </c>
      <c r="C62" s="12" t="s">
        <v>283</v>
      </c>
      <c r="D62" s="11" t="s">
        <v>85</v>
      </c>
      <c r="E62" s="11" t="s">
        <v>274</v>
      </c>
      <c r="F62" s="13" t="s">
        <v>67</v>
      </c>
      <c r="G62" s="5" t="s">
        <v>284</v>
      </c>
      <c r="H62" s="5" t="s">
        <v>285</v>
      </c>
    </row>
    <row r="63" customFormat="false" ht="15" hidden="false" customHeight="false" outlineLevel="0" collapsed="false">
      <c r="A63" s="8" t="s">
        <v>99</v>
      </c>
      <c r="B63" s="15" t="s">
        <v>272</v>
      </c>
      <c r="C63" s="9" t="s">
        <v>286</v>
      </c>
      <c r="D63" s="8" t="s">
        <v>110</v>
      </c>
      <c r="E63" s="8" t="s">
        <v>274</v>
      </c>
      <c r="F63" s="10" t="s">
        <v>67</v>
      </c>
      <c r="G63" s="6" t="s">
        <v>287</v>
      </c>
      <c r="H63" s="6" t="s">
        <v>288</v>
      </c>
    </row>
    <row r="64" customFormat="false" ht="15" hidden="false" customHeight="false" outlineLevel="0" collapsed="false">
      <c r="A64" s="11" t="s">
        <v>99</v>
      </c>
      <c r="B64" s="14" t="s">
        <v>289</v>
      </c>
      <c r="C64" s="12" t="s">
        <v>290</v>
      </c>
      <c r="D64" s="11" t="s">
        <v>65</v>
      </c>
      <c r="E64" s="11" t="s">
        <v>291</v>
      </c>
      <c r="F64" s="13" t="s">
        <v>67</v>
      </c>
      <c r="G64" s="5" t="s">
        <v>292</v>
      </c>
      <c r="H64" s="5" t="s">
        <v>293</v>
      </c>
    </row>
    <row r="65" customFormat="false" ht="15" hidden="false" customHeight="false" outlineLevel="0" collapsed="false">
      <c r="A65" s="8" t="s">
        <v>99</v>
      </c>
      <c r="B65" s="15" t="s">
        <v>289</v>
      </c>
      <c r="C65" s="9" t="s">
        <v>294</v>
      </c>
      <c r="D65" s="8" t="s">
        <v>110</v>
      </c>
      <c r="E65" s="8" t="s">
        <v>291</v>
      </c>
      <c r="F65" s="10" t="s">
        <v>67</v>
      </c>
      <c r="G65" s="6" t="s">
        <v>295</v>
      </c>
      <c r="H65" s="6" t="s">
        <v>296</v>
      </c>
    </row>
    <row r="66" customFormat="false" ht="15" hidden="false" customHeight="false" outlineLevel="0" collapsed="false">
      <c r="A66" s="11" t="s">
        <v>142</v>
      </c>
      <c r="B66" s="14" t="s">
        <v>297</v>
      </c>
      <c r="C66" s="12" t="s">
        <v>298</v>
      </c>
      <c r="D66" s="11" t="s">
        <v>110</v>
      </c>
      <c r="E66" s="11" t="s">
        <v>299</v>
      </c>
      <c r="F66" s="13" t="s">
        <v>67</v>
      </c>
      <c r="G66" s="5" t="s">
        <v>300</v>
      </c>
      <c r="H66" s="5" t="s">
        <v>301</v>
      </c>
    </row>
    <row r="67" customFormat="false" ht="23.85" hidden="false" customHeight="false" outlineLevel="0" collapsed="false">
      <c r="A67" s="8" t="s">
        <v>142</v>
      </c>
      <c r="B67" s="15" t="s">
        <v>302</v>
      </c>
      <c r="C67" s="9" t="s">
        <v>303</v>
      </c>
      <c r="D67" s="8" t="s">
        <v>196</v>
      </c>
      <c r="E67" s="8" t="s">
        <v>197</v>
      </c>
      <c r="F67" s="10" t="s">
        <v>67</v>
      </c>
      <c r="G67" s="6" t="s">
        <v>304</v>
      </c>
      <c r="H67" s="6" t="s">
        <v>305</v>
      </c>
    </row>
    <row r="68" customFormat="false" ht="23.85" hidden="false" customHeight="false" outlineLevel="0" collapsed="false">
      <c r="A68" s="11" t="s">
        <v>62</v>
      </c>
      <c r="B68" s="14" t="s">
        <v>306</v>
      </c>
      <c r="C68" s="12" t="s">
        <v>307</v>
      </c>
      <c r="D68" s="11" t="s">
        <v>149</v>
      </c>
      <c r="E68" s="11" t="s">
        <v>308</v>
      </c>
      <c r="F68" s="11" t="s">
        <v>91</v>
      </c>
      <c r="G68" s="5" t="s">
        <v>309</v>
      </c>
      <c r="H68" s="5" t="s">
        <v>310</v>
      </c>
    </row>
    <row r="69" customFormat="false" ht="15" hidden="false" customHeight="false" outlineLevel="0" collapsed="false">
      <c r="A69" s="8" t="s">
        <v>99</v>
      </c>
      <c r="B69" s="15" t="s">
        <v>306</v>
      </c>
      <c r="C69" s="9" t="s">
        <v>311</v>
      </c>
      <c r="D69" s="8" t="s">
        <v>110</v>
      </c>
      <c r="E69" s="8" t="s">
        <v>308</v>
      </c>
      <c r="F69" s="8" t="s">
        <v>91</v>
      </c>
      <c r="G69" s="6" t="s">
        <v>312</v>
      </c>
      <c r="H69" s="6" t="s">
        <v>313</v>
      </c>
    </row>
    <row r="70" customFormat="false" ht="15" hidden="false" customHeight="false" outlineLevel="0" collapsed="false">
      <c r="A70" s="11" t="s">
        <v>99</v>
      </c>
      <c r="B70" s="14" t="s">
        <v>306</v>
      </c>
      <c r="C70" s="12" t="s">
        <v>314</v>
      </c>
      <c r="D70" s="11" t="s">
        <v>149</v>
      </c>
      <c r="E70" s="11" t="s">
        <v>308</v>
      </c>
      <c r="F70" s="11" t="s">
        <v>91</v>
      </c>
      <c r="G70" s="5" t="s">
        <v>315</v>
      </c>
      <c r="H70" s="5" t="s">
        <v>316</v>
      </c>
    </row>
    <row r="71" customFormat="false" ht="23.85" hidden="false" customHeight="false" outlineLevel="0" collapsed="false">
      <c r="A71" s="8" t="s">
        <v>99</v>
      </c>
      <c r="B71" s="15" t="s">
        <v>317</v>
      </c>
      <c r="C71" s="9" t="s">
        <v>318</v>
      </c>
      <c r="D71" s="8" t="s">
        <v>149</v>
      </c>
      <c r="E71" s="8" t="s">
        <v>319</v>
      </c>
      <c r="F71" s="8" t="s">
        <v>91</v>
      </c>
      <c r="G71" s="6" t="s">
        <v>320</v>
      </c>
      <c r="H71" s="6" t="s">
        <v>321</v>
      </c>
    </row>
    <row r="72" customFormat="false" ht="15" hidden="false" customHeight="false" outlineLevel="0" collapsed="false">
      <c r="A72" s="11" t="s">
        <v>142</v>
      </c>
      <c r="B72" s="14" t="s">
        <v>317</v>
      </c>
      <c r="C72" s="12" t="s">
        <v>322</v>
      </c>
      <c r="D72" s="11" t="s">
        <v>110</v>
      </c>
      <c r="E72" s="11" t="s">
        <v>319</v>
      </c>
      <c r="F72" s="11" t="s">
        <v>91</v>
      </c>
      <c r="G72" s="5" t="s">
        <v>323</v>
      </c>
      <c r="H72" s="5" t="s">
        <v>324</v>
      </c>
    </row>
    <row r="73" customFormat="false" ht="15" hidden="false" customHeight="false" outlineLevel="0" collapsed="false">
      <c r="A73" s="8" t="s">
        <v>142</v>
      </c>
      <c r="B73" s="15" t="s">
        <v>306</v>
      </c>
      <c r="C73" s="9" t="s">
        <v>325</v>
      </c>
      <c r="D73" s="8" t="s">
        <v>110</v>
      </c>
      <c r="E73" s="8" t="s">
        <v>319</v>
      </c>
      <c r="F73" s="8" t="s">
        <v>91</v>
      </c>
      <c r="G73" s="6" t="s">
        <v>326</v>
      </c>
      <c r="H73" s="6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44"/>
    <col collapsed="false" customWidth="true" hidden="false" outlineLevel="0" max="4" min="4" style="0" width="11"/>
    <col collapsed="false" customWidth="true" hidden="false" outlineLevel="0" max="5" min="5" style="0" width="28"/>
    <col collapsed="false" customWidth="true" hidden="false" outlineLevel="0" max="6" min="6" style="0" width="13"/>
    <col collapsed="false" customWidth="true" hidden="false" outlineLevel="0" max="8" min="7" style="0" width="15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68"/>
  </cols>
  <sheetData>
    <row r="1" customFormat="false" ht="17.35" hidden="false" customHeight="false" outlineLevel="0" collapsed="false">
      <c r="A1" s="1" t="s">
        <v>328</v>
      </c>
    </row>
    <row r="2" customFormat="false" ht="15" hidden="false" customHeight="false" outlineLevel="0" collapsed="false">
      <c r="A2" s="2" t="s">
        <v>329</v>
      </c>
    </row>
    <row r="4" customFormat="false" ht="15" hidden="false" customHeight="false" outlineLevel="0" collapsed="false">
      <c r="A4" s="16" t="s">
        <v>330</v>
      </c>
      <c r="B4" s="17" t="n">
        <v>0.3</v>
      </c>
      <c r="C4" s="16" t="s">
        <v>331</v>
      </c>
      <c r="D4" s="17" t="n">
        <v>0.2</v>
      </c>
    </row>
    <row r="5" customFormat="false" ht="15" hidden="false" customHeight="false" outlineLevel="0" collapsed="false">
      <c r="A5" s="16" t="s">
        <v>332</v>
      </c>
      <c r="B5" s="18" t="n">
        <v>19.13</v>
      </c>
      <c r="C5" s="2" t="s">
        <v>333</v>
      </c>
    </row>
    <row r="6" customFormat="false" ht="15" hidden="false" customHeight="false" outlineLevel="0" collapsed="false">
      <c r="A6" s="16" t="s">
        <v>334</v>
      </c>
      <c r="B6" s="18" t="n">
        <v>45</v>
      </c>
      <c r="C6" s="2" t="s">
        <v>335</v>
      </c>
    </row>
    <row r="8" customFormat="false" ht="31.5" hidden="false" customHeight="true" outlineLevel="0" collapsed="false">
      <c r="A8" s="19" t="s">
        <v>54</v>
      </c>
      <c r="B8" s="19" t="s">
        <v>336</v>
      </c>
      <c r="C8" s="19" t="s">
        <v>337</v>
      </c>
      <c r="D8" s="19" t="s">
        <v>338</v>
      </c>
      <c r="E8" s="19" t="s">
        <v>339</v>
      </c>
      <c r="F8" s="19" t="s">
        <v>340</v>
      </c>
      <c r="G8" s="19" t="s">
        <v>341</v>
      </c>
      <c r="H8" s="19" t="s">
        <v>342</v>
      </c>
      <c r="I8" s="19" t="s">
        <v>343</v>
      </c>
      <c r="J8" s="19" t="s">
        <v>344</v>
      </c>
      <c r="K8" s="19" t="s">
        <v>345</v>
      </c>
      <c r="L8" s="19" t="s">
        <v>346</v>
      </c>
    </row>
    <row r="9" customFormat="false" ht="23.85" hidden="false" customHeight="false" outlineLevel="0" collapsed="false">
      <c r="A9" s="8" t="s">
        <v>62</v>
      </c>
      <c r="B9" s="8" t="s">
        <v>347</v>
      </c>
      <c r="C9" s="9" t="s">
        <v>77</v>
      </c>
      <c r="D9" s="8" t="s">
        <v>348</v>
      </c>
      <c r="E9" s="8" t="s">
        <v>78</v>
      </c>
      <c r="F9" s="20" t="n">
        <v>4882.78</v>
      </c>
      <c r="G9" s="8" t="s">
        <v>349</v>
      </c>
      <c r="H9" s="20" t="n">
        <f aca="false">F9*$B$4</f>
        <v>1464.834</v>
      </c>
      <c r="I9" s="20" t="n">
        <f aca="false">H9*$D$4</f>
        <v>292.9668</v>
      </c>
      <c r="J9" s="20" t="n">
        <f aca="false">$B$5</f>
        <v>19.13</v>
      </c>
      <c r="K9" s="21" t="n">
        <f aca="false">IFERROR(ROUND(I9/J9,0),0)</f>
        <v>15</v>
      </c>
      <c r="L9" s="6" t="s">
        <v>350</v>
      </c>
    </row>
    <row r="10" customFormat="false" ht="15" hidden="false" customHeight="false" outlineLevel="0" collapsed="false">
      <c r="A10" s="11" t="s">
        <v>62</v>
      </c>
      <c r="B10" s="11" t="s">
        <v>347</v>
      </c>
      <c r="C10" s="12" t="s">
        <v>84</v>
      </c>
      <c r="D10" s="11" t="s">
        <v>348</v>
      </c>
      <c r="E10" s="11" t="s">
        <v>78</v>
      </c>
      <c r="F10" s="22" t="n">
        <v>4882.78</v>
      </c>
      <c r="G10" s="11" t="s">
        <v>349</v>
      </c>
      <c r="H10" s="22" t="n">
        <f aca="false">F10*$B$4</f>
        <v>1464.834</v>
      </c>
      <c r="I10" s="22" t="n">
        <f aca="false">H10*$D$4</f>
        <v>292.9668</v>
      </c>
      <c r="J10" s="22" t="n">
        <f aca="false">$B$5</f>
        <v>19.13</v>
      </c>
      <c r="K10" s="23" t="n">
        <f aca="false">IFERROR(ROUND(I10/J10,0),0)</f>
        <v>15</v>
      </c>
      <c r="L10" s="5" t="s">
        <v>351</v>
      </c>
    </row>
    <row r="11" customFormat="false" ht="15" hidden="false" customHeight="false" outlineLevel="0" collapsed="false">
      <c r="A11" s="8" t="s">
        <v>62</v>
      </c>
      <c r="B11" s="8" t="s">
        <v>347</v>
      </c>
      <c r="C11" s="9" t="s">
        <v>81</v>
      </c>
      <c r="D11" s="8" t="s">
        <v>348</v>
      </c>
      <c r="E11" s="8" t="s">
        <v>78</v>
      </c>
      <c r="F11" s="20" t="n">
        <v>4882.78</v>
      </c>
      <c r="G11" s="8" t="s">
        <v>349</v>
      </c>
      <c r="H11" s="20" t="n">
        <f aca="false">F11*$B$4</f>
        <v>1464.834</v>
      </c>
      <c r="I11" s="20" t="n">
        <f aca="false">H11*$D$4</f>
        <v>292.9668</v>
      </c>
      <c r="J11" s="20" t="n">
        <f aca="false">$B$5</f>
        <v>19.13</v>
      </c>
      <c r="K11" s="21" t="n">
        <f aca="false">IFERROR(ROUND(I11/J11,0),0)</f>
        <v>15</v>
      </c>
      <c r="L11" s="6" t="s">
        <v>352</v>
      </c>
    </row>
    <row r="12" customFormat="false" ht="15" hidden="false" customHeight="false" outlineLevel="0" collapsed="false">
      <c r="A12" s="11" t="s">
        <v>62</v>
      </c>
      <c r="B12" s="11" t="s">
        <v>353</v>
      </c>
      <c r="C12" s="12" t="s">
        <v>64</v>
      </c>
      <c r="D12" s="11" t="s">
        <v>354</v>
      </c>
      <c r="E12" s="11" t="s">
        <v>66</v>
      </c>
      <c r="F12" s="22" t="n">
        <v>5009.06</v>
      </c>
      <c r="G12" s="11" t="s">
        <v>349</v>
      </c>
      <c r="H12" s="22" t="n">
        <f aca="false">F12*$B$4</f>
        <v>1502.718</v>
      </c>
      <c r="I12" s="22" t="n">
        <f aca="false">H12*$D$4</f>
        <v>300.5436</v>
      </c>
      <c r="J12" s="22" t="n">
        <f aca="false">$B$5</f>
        <v>19.13</v>
      </c>
      <c r="K12" s="23" t="n">
        <f aca="false">IFERROR(ROUND(I12/J12,0),0)</f>
        <v>16</v>
      </c>
      <c r="L12" s="5" t="s">
        <v>355</v>
      </c>
    </row>
    <row r="13" customFormat="false" ht="15" hidden="false" customHeight="false" outlineLevel="0" collapsed="false">
      <c r="A13" s="8" t="s">
        <v>62</v>
      </c>
      <c r="B13" s="8" t="s">
        <v>353</v>
      </c>
      <c r="C13" s="9" t="s">
        <v>356</v>
      </c>
      <c r="D13" s="8" t="s">
        <v>348</v>
      </c>
      <c r="E13" s="8" t="s">
        <v>66</v>
      </c>
      <c r="F13" s="20" t="n">
        <v>5009.06</v>
      </c>
      <c r="G13" s="8" t="s">
        <v>349</v>
      </c>
      <c r="H13" s="20" t="n">
        <f aca="false">F13*$B$4</f>
        <v>1502.718</v>
      </c>
      <c r="I13" s="20" t="n">
        <f aca="false">H13*$D$4</f>
        <v>300.5436</v>
      </c>
      <c r="J13" s="20" t="n">
        <f aca="false">$B$5</f>
        <v>19.13</v>
      </c>
      <c r="K13" s="21" t="n">
        <f aca="false">IFERROR(ROUND(I13/J13,0),0)</f>
        <v>16</v>
      </c>
      <c r="L13" s="6" t="s">
        <v>357</v>
      </c>
    </row>
    <row r="14" customFormat="false" ht="15" hidden="false" customHeight="false" outlineLevel="0" collapsed="false">
      <c r="A14" s="11" t="s">
        <v>62</v>
      </c>
      <c r="B14" s="11" t="s">
        <v>353</v>
      </c>
      <c r="C14" s="12" t="s">
        <v>358</v>
      </c>
      <c r="D14" s="11" t="s">
        <v>348</v>
      </c>
      <c r="E14" s="11" t="s">
        <v>66</v>
      </c>
      <c r="F14" s="22" t="n">
        <v>5009.06</v>
      </c>
      <c r="G14" s="11" t="s">
        <v>349</v>
      </c>
      <c r="H14" s="22" t="n">
        <f aca="false">F14*$B$4</f>
        <v>1502.718</v>
      </c>
      <c r="I14" s="22" t="n">
        <f aca="false">H14*$D$4</f>
        <v>300.5436</v>
      </c>
      <c r="J14" s="22" t="n">
        <f aca="false">$B$5</f>
        <v>19.13</v>
      </c>
      <c r="K14" s="23" t="n">
        <f aca="false">IFERROR(ROUND(I14/J14,0),0)</f>
        <v>16</v>
      </c>
      <c r="L14" s="5" t="s">
        <v>359</v>
      </c>
    </row>
    <row r="15" customFormat="false" ht="23.85" hidden="false" customHeight="false" outlineLevel="0" collapsed="false">
      <c r="A15" s="8" t="s">
        <v>62</v>
      </c>
      <c r="B15" s="8" t="s">
        <v>360</v>
      </c>
      <c r="C15" s="9" t="s">
        <v>118</v>
      </c>
      <c r="D15" s="8" t="s">
        <v>348</v>
      </c>
      <c r="E15" s="8" t="s">
        <v>119</v>
      </c>
      <c r="F15" s="20" t="n">
        <v>13756.44</v>
      </c>
      <c r="G15" s="8" t="s">
        <v>349</v>
      </c>
      <c r="H15" s="20" t="n">
        <f aca="false">F15*$B$4</f>
        <v>4126.932</v>
      </c>
      <c r="I15" s="20" t="n">
        <f aca="false">H15*$D$4</f>
        <v>825.3864</v>
      </c>
      <c r="J15" s="20" t="n">
        <f aca="false">$B$5</f>
        <v>19.13</v>
      </c>
      <c r="K15" s="21" t="n">
        <f aca="false">IFERROR(ROUND(I15/J15,0),0)</f>
        <v>43</v>
      </c>
      <c r="L15" s="6" t="s">
        <v>361</v>
      </c>
    </row>
    <row r="16" customFormat="false" ht="15" hidden="false" customHeight="false" outlineLevel="0" collapsed="false">
      <c r="A16" s="11" t="s">
        <v>99</v>
      </c>
      <c r="B16" s="11" t="s">
        <v>360</v>
      </c>
      <c r="C16" s="12" t="s">
        <v>122</v>
      </c>
      <c r="D16" s="11" t="s">
        <v>348</v>
      </c>
      <c r="E16" s="11" t="s">
        <v>119</v>
      </c>
      <c r="F16" s="22" t="n">
        <v>13756.44</v>
      </c>
      <c r="G16" s="11" t="s">
        <v>349</v>
      </c>
      <c r="H16" s="22" t="n">
        <f aca="false">F16*$B$4</f>
        <v>4126.932</v>
      </c>
      <c r="I16" s="22" t="n">
        <f aca="false">H16*$D$4</f>
        <v>825.3864</v>
      </c>
      <c r="J16" s="22" t="n">
        <f aca="false">$B$5</f>
        <v>19.13</v>
      </c>
      <c r="K16" s="23" t="n">
        <f aca="false">IFERROR(ROUND(I16/J16,0),0)</f>
        <v>43</v>
      </c>
      <c r="L16" s="5" t="s">
        <v>123</v>
      </c>
    </row>
    <row r="17" customFormat="false" ht="23.85" hidden="false" customHeight="false" outlineLevel="0" collapsed="false">
      <c r="A17" s="8" t="s">
        <v>62</v>
      </c>
      <c r="B17" s="8" t="s">
        <v>362</v>
      </c>
      <c r="C17" s="9" t="s">
        <v>363</v>
      </c>
      <c r="D17" s="8" t="s">
        <v>348</v>
      </c>
      <c r="E17" s="8" t="s">
        <v>111</v>
      </c>
      <c r="F17" s="20" t="n">
        <v>38043.99</v>
      </c>
      <c r="G17" s="8" t="s">
        <v>349</v>
      </c>
      <c r="H17" s="20" t="n">
        <f aca="false">F17*$B$4</f>
        <v>11413.197</v>
      </c>
      <c r="I17" s="20" t="n">
        <f aca="false">H17*$D$4</f>
        <v>2282.6394</v>
      </c>
      <c r="J17" s="20" t="n">
        <f aca="false">$B$5</f>
        <v>19.13</v>
      </c>
      <c r="K17" s="21" t="n">
        <f aca="false">IFERROR(ROUND(I17/J17,0),0)</f>
        <v>119</v>
      </c>
      <c r="L17" s="6" t="s">
        <v>364</v>
      </c>
    </row>
    <row r="18" customFormat="false" ht="15" hidden="false" customHeight="false" outlineLevel="0" collapsed="false">
      <c r="A18" s="11" t="s">
        <v>99</v>
      </c>
      <c r="B18" s="11" t="s">
        <v>362</v>
      </c>
      <c r="C18" s="12" t="s">
        <v>365</v>
      </c>
      <c r="D18" s="11" t="s">
        <v>348</v>
      </c>
      <c r="E18" s="11" t="s">
        <v>111</v>
      </c>
      <c r="F18" s="22" t="n">
        <v>38043.99</v>
      </c>
      <c r="G18" s="11" t="s">
        <v>349</v>
      </c>
      <c r="H18" s="22" t="n">
        <f aca="false">F18*$B$4</f>
        <v>11413.197</v>
      </c>
      <c r="I18" s="22" t="n">
        <f aca="false">H18*$D$4</f>
        <v>2282.6394</v>
      </c>
      <c r="J18" s="22" t="n">
        <f aca="false">$B$5</f>
        <v>19.13</v>
      </c>
      <c r="K18" s="23" t="n">
        <f aca="false">IFERROR(ROUND(I18/J18,0),0)</f>
        <v>119</v>
      </c>
      <c r="L18" s="5" t="s">
        <v>366</v>
      </c>
    </row>
    <row r="19" customFormat="false" ht="15" hidden="false" customHeight="false" outlineLevel="0" collapsed="false">
      <c r="A19" s="8" t="s">
        <v>99</v>
      </c>
      <c r="B19" s="8" t="s">
        <v>367</v>
      </c>
      <c r="C19" s="9" t="s">
        <v>368</v>
      </c>
      <c r="D19" s="8" t="s">
        <v>348</v>
      </c>
      <c r="E19" s="8" t="s">
        <v>127</v>
      </c>
      <c r="F19" s="20" t="n">
        <v>4441.64</v>
      </c>
      <c r="G19" s="8" t="s">
        <v>349</v>
      </c>
      <c r="H19" s="20" t="n">
        <f aca="false">F19*$B$4</f>
        <v>1332.492</v>
      </c>
      <c r="I19" s="20" t="n">
        <f aca="false">H19*$D$4</f>
        <v>266.4984</v>
      </c>
      <c r="J19" s="20" t="n">
        <f aca="false">$B$5</f>
        <v>19.13</v>
      </c>
      <c r="K19" s="21" t="n">
        <f aca="false">IFERROR(ROUND(I19/J19,0),0)</f>
        <v>14</v>
      </c>
      <c r="L19" s="6" t="s">
        <v>369</v>
      </c>
    </row>
    <row r="20" customFormat="false" ht="15" hidden="false" customHeight="false" outlineLevel="0" collapsed="false">
      <c r="A20" s="11" t="s">
        <v>99</v>
      </c>
      <c r="B20" s="11" t="s">
        <v>367</v>
      </c>
      <c r="C20" s="12" t="s">
        <v>130</v>
      </c>
      <c r="D20" s="11" t="s">
        <v>348</v>
      </c>
      <c r="E20" s="11" t="s">
        <v>127</v>
      </c>
      <c r="F20" s="22" t="n">
        <v>4441.64</v>
      </c>
      <c r="G20" s="11" t="s">
        <v>349</v>
      </c>
      <c r="H20" s="22" t="n">
        <f aca="false">F20*$B$4</f>
        <v>1332.492</v>
      </c>
      <c r="I20" s="22" t="n">
        <f aca="false">H20*$D$4</f>
        <v>266.4984</v>
      </c>
      <c r="J20" s="22" t="n">
        <f aca="false">$B$5</f>
        <v>19.13</v>
      </c>
      <c r="K20" s="23" t="n">
        <f aca="false">IFERROR(ROUND(I20/J20,0),0)</f>
        <v>14</v>
      </c>
      <c r="L20" s="5" t="s">
        <v>370</v>
      </c>
    </row>
    <row r="21" customFormat="false" ht="23.85" hidden="false" customHeight="false" outlineLevel="0" collapsed="false">
      <c r="A21" s="8" t="s">
        <v>99</v>
      </c>
      <c r="B21" s="8" t="s">
        <v>371</v>
      </c>
      <c r="C21" s="9" t="s">
        <v>134</v>
      </c>
      <c r="D21" s="8" t="s">
        <v>348</v>
      </c>
      <c r="E21" s="8" t="s">
        <v>135</v>
      </c>
      <c r="F21" s="20" t="n">
        <v>2666.67</v>
      </c>
      <c r="G21" s="8" t="s">
        <v>349</v>
      </c>
      <c r="H21" s="20" t="n">
        <f aca="false">F21*$B$4</f>
        <v>800.001</v>
      </c>
      <c r="I21" s="20" t="n">
        <f aca="false">H21*$D$4</f>
        <v>160.0002</v>
      </c>
      <c r="J21" s="20" t="n">
        <f aca="false">$B$5</f>
        <v>19.13</v>
      </c>
      <c r="K21" s="21" t="n">
        <f aca="false">IFERROR(ROUND(I21/J21,0),0)</f>
        <v>8</v>
      </c>
      <c r="L21" s="6" t="s">
        <v>372</v>
      </c>
    </row>
    <row r="22" customFormat="false" ht="15" hidden="false" customHeight="false" outlineLevel="0" collapsed="false">
      <c r="A22" s="11" t="s">
        <v>99</v>
      </c>
      <c r="B22" s="11" t="s">
        <v>373</v>
      </c>
      <c r="C22" s="12" t="s">
        <v>374</v>
      </c>
      <c r="D22" s="11" t="s">
        <v>348</v>
      </c>
      <c r="E22" s="11" t="s">
        <v>90</v>
      </c>
      <c r="F22" s="22" t="n">
        <v>11199.97</v>
      </c>
      <c r="G22" s="11" t="s">
        <v>349</v>
      </c>
      <c r="H22" s="22" t="n">
        <f aca="false">F22*$B$4</f>
        <v>3359.991</v>
      </c>
      <c r="I22" s="22" t="n">
        <f aca="false">H22*$D$4</f>
        <v>671.9982</v>
      </c>
      <c r="J22" s="22" t="n">
        <f aca="false">$B$5</f>
        <v>19.13</v>
      </c>
      <c r="K22" s="23" t="n">
        <f aca="false">IFERROR(ROUND(I22/J22,0),0)</f>
        <v>35</v>
      </c>
      <c r="L22" s="5" t="s">
        <v>375</v>
      </c>
    </row>
    <row r="23" customFormat="false" ht="15" hidden="false" customHeight="false" outlineLevel="0" collapsed="false">
      <c r="A23" s="8" t="s">
        <v>99</v>
      </c>
      <c r="B23" s="8" t="s">
        <v>376</v>
      </c>
      <c r="C23" s="9" t="s">
        <v>95</v>
      </c>
      <c r="D23" s="8" t="s">
        <v>354</v>
      </c>
      <c r="E23" s="8" t="s">
        <v>96</v>
      </c>
      <c r="F23" s="20" t="n">
        <v>2508.75</v>
      </c>
      <c r="G23" s="8" t="s">
        <v>349</v>
      </c>
      <c r="H23" s="20" t="n">
        <f aca="false">F23*$B$4</f>
        <v>752.625</v>
      </c>
      <c r="I23" s="20" t="n">
        <f aca="false">H23*$D$4</f>
        <v>150.525</v>
      </c>
      <c r="J23" s="20" t="n">
        <f aca="false">$B$5</f>
        <v>19.13</v>
      </c>
      <c r="K23" s="21" t="n">
        <f aca="false">IFERROR(ROUND(I23/J23,0),0)</f>
        <v>8</v>
      </c>
      <c r="L23" s="6" t="s">
        <v>377</v>
      </c>
    </row>
    <row r="24" customFormat="false" ht="23.85" hidden="false" customHeight="false" outlineLevel="0" collapsed="false">
      <c r="A24" s="11" t="s">
        <v>62</v>
      </c>
      <c r="B24" s="24" t="s">
        <v>378</v>
      </c>
      <c r="C24" s="12" t="s">
        <v>158</v>
      </c>
      <c r="D24" s="11" t="s">
        <v>348</v>
      </c>
      <c r="E24" s="11" t="s">
        <v>159</v>
      </c>
      <c r="F24" s="22" t="n">
        <v>15000</v>
      </c>
      <c r="G24" s="25" t="s">
        <v>379</v>
      </c>
      <c r="H24" s="22" t="n">
        <f aca="false">F24*$B$4</f>
        <v>4500</v>
      </c>
      <c r="I24" s="22" t="n">
        <f aca="false">H24*$D$4</f>
        <v>900</v>
      </c>
      <c r="J24" s="22" t="n">
        <f aca="false">$B$6</f>
        <v>45</v>
      </c>
      <c r="K24" s="23" t="n">
        <f aca="false">IFERROR(ROUND(I24/J24,0),0)</f>
        <v>20</v>
      </c>
      <c r="L24" s="5" t="s">
        <v>380</v>
      </c>
    </row>
    <row r="25" customFormat="false" ht="15" hidden="false" customHeight="false" outlineLevel="0" collapsed="false">
      <c r="A25" s="8" t="s">
        <v>62</v>
      </c>
      <c r="B25" s="26" t="s">
        <v>378</v>
      </c>
      <c r="C25" s="9" t="s">
        <v>162</v>
      </c>
      <c r="D25" s="8" t="s">
        <v>348</v>
      </c>
      <c r="E25" s="8" t="s">
        <v>159</v>
      </c>
      <c r="F25" s="20" t="n">
        <v>15000</v>
      </c>
      <c r="G25" s="27" t="s">
        <v>379</v>
      </c>
      <c r="H25" s="20" t="n">
        <f aca="false">F25*$B$4</f>
        <v>4500</v>
      </c>
      <c r="I25" s="20" t="n">
        <f aca="false">H25*$D$4</f>
        <v>900</v>
      </c>
      <c r="J25" s="20" t="n">
        <f aca="false">$B$6</f>
        <v>45</v>
      </c>
      <c r="K25" s="21" t="n">
        <f aca="false">IFERROR(ROUND(I25/J25,0),0)</f>
        <v>20</v>
      </c>
      <c r="L25" s="6" t="s">
        <v>381</v>
      </c>
    </row>
    <row r="26" customFormat="false" ht="15" hidden="false" customHeight="false" outlineLevel="0" collapsed="false">
      <c r="A26" s="11" t="s">
        <v>99</v>
      </c>
      <c r="B26" s="24" t="s">
        <v>378</v>
      </c>
      <c r="C26" s="12" t="s">
        <v>165</v>
      </c>
      <c r="D26" s="11" t="s">
        <v>348</v>
      </c>
      <c r="E26" s="11" t="s">
        <v>159</v>
      </c>
      <c r="F26" s="22" t="n">
        <v>15000</v>
      </c>
      <c r="G26" s="25" t="s">
        <v>379</v>
      </c>
      <c r="H26" s="22" t="n">
        <f aca="false">F26*$B$4</f>
        <v>4500</v>
      </c>
      <c r="I26" s="22" t="n">
        <f aca="false">H26*$D$4</f>
        <v>900</v>
      </c>
      <c r="J26" s="22" t="n">
        <f aca="false">$B$6</f>
        <v>45</v>
      </c>
      <c r="K26" s="23" t="n">
        <f aca="false">IFERROR(ROUND(I26/J26,0),0)</f>
        <v>20</v>
      </c>
      <c r="L26" s="5" t="s">
        <v>382</v>
      </c>
    </row>
    <row r="27" customFormat="false" ht="15" hidden="false" customHeight="false" outlineLevel="0" collapsed="false">
      <c r="A27" s="8" t="s">
        <v>99</v>
      </c>
      <c r="B27" s="26" t="s">
        <v>378</v>
      </c>
      <c r="C27" s="9" t="s">
        <v>168</v>
      </c>
      <c r="D27" s="8" t="s">
        <v>348</v>
      </c>
      <c r="E27" s="8" t="s">
        <v>159</v>
      </c>
      <c r="F27" s="20" t="n">
        <v>15000</v>
      </c>
      <c r="G27" s="27" t="s">
        <v>379</v>
      </c>
      <c r="H27" s="20" t="n">
        <f aca="false">F27*$B$4</f>
        <v>4500</v>
      </c>
      <c r="I27" s="20" t="n">
        <f aca="false">H27*$D$4</f>
        <v>900</v>
      </c>
      <c r="J27" s="20" t="n">
        <f aca="false">$B$6</f>
        <v>45</v>
      </c>
      <c r="K27" s="21" t="n">
        <f aca="false">IFERROR(ROUND(I27/J27,0),0)</f>
        <v>20</v>
      </c>
      <c r="L27" s="6" t="s">
        <v>383</v>
      </c>
    </row>
    <row r="28" customFormat="false" ht="15" hidden="false" customHeight="false" outlineLevel="0" collapsed="false">
      <c r="A28" s="11" t="s">
        <v>142</v>
      </c>
      <c r="B28" s="24" t="s">
        <v>378</v>
      </c>
      <c r="C28" s="12" t="s">
        <v>171</v>
      </c>
      <c r="D28" s="11" t="s">
        <v>348</v>
      </c>
      <c r="E28" s="11" t="s">
        <v>159</v>
      </c>
      <c r="F28" s="22" t="n">
        <v>15000</v>
      </c>
      <c r="G28" s="25" t="s">
        <v>379</v>
      </c>
      <c r="H28" s="22" t="n">
        <f aca="false">F28*$B$4</f>
        <v>4500</v>
      </c>
      <c r="I28" s="22" t="n">
        <f aca="false">H28*$D$4</f>
        <v>900</v>
      </c>
      <c r="J28" s="22" t="n">
        <f aca="false">$B$6</f>
        <v>45</v>
      </c>
      <c r="K28" s="23" t="n">
        <f aca="false">IFERROR(ROUND(I28/J28,0),0)</f>
        <v>20</v>
      </c>
      <c r="L28" s="5" t="s">
        <v>384</v>
      </c>
    </row>
    <row r="29" customFormat="false" ht="23.85" hidden="false" customHeight="false" outlineLevel="0" collapsed="false">
      <c r="A29" s="8" t="s">
        <v>62</v>
      </c>
      <c r="B29" s="26" t="s">
        <v>385</v>
      </c>
      <c r="C29" s="9" t="s">
        <v>181</v>
      </c>
      <c r="D29" s="8" t="s">
        <v>348</v>
      </c>
      <c r="E29" s="8" t="s">
        <v>182</v>
      </c>
      <c r="F29" s="20" t="n">
        <v>12000</v>
      </c>
      <c r="G29" s="27" t="s">
        <v>379</v>
      </c>
      <c r="H29" s="20" t="n">
        <f aca="false">F29*$B$4</f>
        <v>3600</v>
      </c>
      <c r="I29" s="20" t="n">
        <f aca="false">H29*$D$4</f>
        <v>720</v>
      </c>
      <c r="J29" s="20" t="n">
        <f aca="false">$B$6</f>
        <v>45</v>
      </c>
      <c r="K29" s="21" t="n">
        <f aca="false">IFERROR(ROUND(I29/J29,0),0)</f>
        <v>16</v>
      </c>
      <c r="L29" s="6" t="s">
        <v>386</v>
      </c>
    </row>
    <row r="30" customFormat="false" ht="15" hidden="false" customHeight="false" outlineLevel="0" collapsed="false">
      <c r="A30" s="11" t="s">
        <v>99</v>
      </c>
      <c r="B30" s="24" t="s">
        <v>385</v>
      </c>
      <c r="C30" s="12" t="s">
        <v>387</v>
      </c>
      <c r="D30" s="11" t="s">
        <v>348</v>
      </c>
      <c r="E30" s="11" t="s">
        <v>182</v>
      </c>
      <c r="F30" s="22" t="n">
        <v>12000</v>
      </c>
      <c r="G30" s="25" t="s">
        <v>379</v>
      </c>
      <c r="H30" s="22" t="n">
        <f aca="false">F30*$B$4</f>
        <v>3600</v>
      </c>
      <c r="I30" s="22" t="n">
        <f aca="false">H30*$D$4</f>
        <v>720</v>
      </c>
      <c r="J30" s="22" t="n">
        <f aca="false">$B$6</f>
        <v>45</v>
      </c>
      <c r="K30" s="23" t="n">
        <f aca="false">IFERROR(ROUND(I30/J30,0),0)</f>
        <v>16</v>
      </c>
      <c r="L30" s="5" t="s">
        <v>388</v>
      </c>
    </row>
    <row r="31" customFormat="false" ht="23.85" hidden="false" customHeight="false" outlineLevel="0" collapsed="false">
      <c r="A31" s="8" t="s">
        <v>62</v>
      </c>
      <c r="B31" s="26" t="s">
        <v>389</v>
      </c>
      <c r="C31" s="9" t="s">
        <v>231</v>
      </c>
      <c r="D31" s="8" t="s">
        <v>348</v>
      </c>
      <c r="E31" s="8" t="s">
        <v>232</v>
      </c>
      <c r="F31" s="20" t="n">
        <v>18000</v>
      </c>
      <c r="G31" s="27" t="s">
        <v>379</v>
      </c>
      <c r="H31" s="20" t="n">
        <f aca="false">F31*$B$4</f>
        <v>5400</v>
      </c>
      <c r="I31" s="20" t="n">
        <f aca="false">H31*$D$4</f>
        <v>1080</v>
      </c>
      <c r="J31" s="20" t="n">
        <f aca="false">$B$6</f>
        <v>45</v>
      </c>
      <c r="K31" s="21" t="n">
        <f aca="false">IFERROR(ROUND(I31/J31,0),0)</f>
        <v>24</v>
      </c>
      <c r="L31" s="6" t="s">
        <v>390</v>
      </c>
    </row>
    <row r="32" customFormat="false" ht="23.85" hidden="false" customHeight="false" outlineLevel="0" collapsed="false">
      <c r="A32" s="11" t="s">
        <v>62</v>
      </c>
      <c r="B32" s="24" t="s">
        <v>389</v>
      </c>
      <c r="C32" s="12" t="s">
        <v>235</v>
      </c>
      <c r="D32" s="11" t="s">
        <v>348</v>
      </c>
      <c r="E32" s="11" t="s">
        <v>232</v>
      </c>
      <c r="F32" s="22" t="n">
        <v>18000</v>
      </c>
      <c r="G32" s="25" t="s">
        <v>379</v>
      </c>
      <c r="H32" s="22" t="n">
        <f aca="false">F32*$B$4</f>
        <v>5400</v>
      </c>
      <c r="I32" s="22" t="n">
        <f aca="false">H32*$D$4</f>
        <v>1080</v>
      </c>
      <c r="J32" s="22" t="n">
        <f aca="false">$B$6</f>
        <v>45</v>
      </c>
      <c r="K32" s="23" t="n">
        <f aca="false">IFERROR(ROUND(I32/J32,0),0)</f>
        <v>24</v>
      </c>
      <c r="L32" s="5" t="s">
        <v>391</v>
      </c>
    </row>
    <row r="33" customFormat="false" ht="15" hidden="false" customHeight="false" outlineLevel="0" collapsed="false">
      <c r="A33" s="8" t="s">
        <v>99</v>
      </c>
      <c r="B33" s="26" t="s">
        <v>389</v>
      </c>
      <c r="C33" s="9" t="s">
        <v>241</v>
      </c>
      <c r="D33" s="8" t="s">
        <v>348</v>
      </c>
      <c r="E33" s="8" t="s">
        <v>232</v>
      </c>
      <c r="F33" s="20" t="n">
        <v>18000</v>
      </c>
      <c r="G33" s="27" t="s">
        <v>379</v>
      </c>
      <c r="H33" s="20" t="n">
        <f aca="false">F33*$B$4</f>
        <v>5400</v>
      </c>
      <c r="I33" s="20" t="n">
        <f aca="false">H33*$D$4</f>
        <v>1080</v>
      </c>
      <c r="J33" s="20" t="n">
        <f aca="false">$B$6</f>
        <v>45</v>
      </c>
      <c r="K33" s="21" t="n">
        <f aca="false">IFERROR(ROUND(I33/J33,0),0)</f>
        <v>24</v>
      </c>
      <c r="L33" s="6" t="s">
        <v>392</v>
      </c>
    </row>
    <row r="34" customFormat="false" ht="23.85" hidden="false" customHeight="false" outlineLevel="0" collapsed="false">
      <c r="A34" s="11" t="s">
        <v>99</v>
      </c>
      <c r="B34" s="24" t="s">
        <v>393</v>
      </c>
      <c r="C34" s="12" t="s">
        <v>204</v>
      </c>
      <c r="D34" s="11" t="s">
        <v>348</v>
      </c>
      <c r="E34" s="11" t="s">
        <v>205</v>
      </c>
      <c r="F34" s="22" t="n">
        <v>25000</v>
      </c>
      <c r="G34" s="25" t="s">
        <v>379</v>
      </c>
      <c r="H34" s="22" t="n">
        <f aca="false">F34*$B$4</f>
        <v>7500</v>
      </c>
      <c r="I34" s="22" t="n">
        <f aca="false">H34*$D$4</f>
        <v>1500</v>
      </c>
      <c r="J34" s="22" t="n">
        <f aca="false">$B$6</f>
        <v>45</v>
      </c>
      <c r="K34" s="23" t="n">
        <f aca="false">IFERROR(ROUND(I34/J34,0),0)</f>
        <v>33</v>
      </c>
      <c r="L34" s="5" t="s">
        <v>394</v>
      </c>
    </row>
    <row r="35" customFormat="false" ht="15" hidden="false" customHeight="false" outlineLevel="0" collapsed="false">
      <c r="A35" s="8" t="s">
        <v>99</v>
      </c>
      <c r="B35" s="26" t="s">
        <v>393</v>
      </c>
      <c r="C35" s="9" t="s">
        <v>208</v>
      </c>
      <c r="D35" s="8" t="s">
        <v>348</v>
      </c>
      <c r="E35" s="8" t="s">
        <v>205</v>
      </c>
      <c r="F35" s="20" t="n">
        <v>25000</v>
      </c>
      <c r="G35" s="27" t="s">
        <v>379</v>
      </c>
      <c r="H35" s="20" t="n">
        <f aca="false">F35*$B$4</f>
        <v>7500</v>
      </c>
      <c r="I35" s="20" t="n">
        <f aca="false">H35*$D$4</f>
        <v>1500</v>
      </c>
      <c r="J35" s="20" t="n">
        <f aca="false">$B$6</f>
        <v>45</v>
      </c>
      <c r="K35" s="21" t="n">
        <f aca="false">IFERROR(ROUND(I35/J35,0),0)</f>
        <v>33</v>
      </c>
      <c r="L35" s="6" t="s">
        <v>395</v>
      </c>
    </row>
    <row r="36" customFormat="false" ht="23.85" hidden="false" customHeight="false" outlineLevel="0" collapsed="false">
      <c r="A36" s="11" t="s">
        <v>142</v>
      </c>
      <c r="B36" s="24" t="s">
        <v>393</v>
      </c>
      <c r="C36" s="12" t="s">
        <v>217</v>
      </c>
      <c r="D36" s="11" t="s">
        <v>348</v>
      </c>
      <c r="E36" s="11" t="s">
        <v>205</v>
      </c>
      <c r="F36" s="22" t="n">
        <v>25000</v>
      </c>
      <c r="G36" s="25" t="s">
        <v>379</v>
      </c>
      <c r="H36" s="22" t="n">
        <f aca="false">F36*$B$4</f>
        <v>7500</v>
      </c>
      <c r="I36" s="22" t="n">
        <f aca="false">H36*$D$4</f>
        <v>1500</v>
      </c>
      <c r="J36" s="22" t="n">
        <f aca="false">$B$6</f>
        <v>45</v>
      </c>
      <c r="K36" s="23" t="n">
        <f aca="false">IFERROR(ROUND(I36/J36,0),0)</f>
        <v>33</v>
      </c>
      <c r="L36" s="5" t="s">
        <v>396</v>
      </c>
    </row>
    <row r="37" customFormat="false" ht="15" hidden="false" customHeight="false" outlineLevel="0" collapsed="false">
      <c r="A37" s="8" t="s">
        <v>99</v>
      </c>
      <c r="B37" s="26" t="s">
        <v>397</v>
      </c>
      <c r="C37" s="9" t="s">
        <v>248</v>
      </c>
      <c r="D37" s="8" t="s">
        <v>348</v>
      </c>
      <c r="E37" s="8" t="s">
        <v>249</v>
      </c>
      <c r="F37" s="20" t="n">
        <v>60000</v>
      </c>
      <c r="G37" s="27" t="s">
        <v>379</v>
      </c>
      <c r="H37" s="20" t="n">
        <f aca="false">F37*$B$4</f>
        <v>18000</v>
      </c>
      <c r="I37" s="20" t="n">
        <f aca="false">H37*$D$4</f>
        <v>3600</v>
      </c>
      <c r="J37" s="20" t="n">
        <f aca="false">$B$6</f>
        <v>45</v>
      </c>
      <c r="K37" s="21" t="n">
        <f aca="false">IFERROR(ROUND(I37/J37,0),0)</f>
        <v>80</v>
      </c>
      <c r="L37" s="6" t="s">
        <v>398</v>
      </c>
    </row>
    <row r="38" customFormat="false" ht="15" hidden="false" customHeight="false" outlineLevel="0" collapsed="false">
      <c r="A38" s="11" t="s">
        <v>142</v>
      </c>
      <c r="B38" s="24" t="s">
        <v>397</v>
      </c>
      <c r="C38" s="12" t="s">
        <v>252</v>
      </c>
      <c r="D38" s="11" t="s">
        <v>348</v>
      </c>
      <c r="E38" s="11" t="s">
        <v>249</v>
      </c>
      <c r="F38" s="22" t="n">
        <v>60000</v>
      </c>
      <c r="G38" s="25" t="s">
        <v>379</v>
      </c>
      <c r="H38" s="22" t="n">
        <f aca="false">F38*$B$4</f>
        <v>18000</v>
      </c>
      <c r="I38" s="22" t="n">
        <f aca="false">H38*$D$4</f>
        <v>3600</v>
      </c>
      <c r="J38" s="22" t="n">
        <f aca="false">$B$6</f>
        <v>45</v>
      </c>
      <c r="K38" s="23" t="n">
        <f aca="false">IFERROR(ROUND(I38/J38,0),0)</f>
        <v>80</v>
      </c>
      <c r="L38" s="5" t="s">
        <v>399</v>
      </c>
    </row>
    <row r="39" customFormat="false" ht="23.85" hidden="false" customHeight="false" outlineLevel="0" collapsed="false">
      <c r="A39" s="8" t="s">
        <v>142</v>
      </c>
      <c r="B39" s="26" t="s">
        <v>400</v>
      </c>
      <c r="C39" s="9" t="s">
        <v>259</v>
      </c>
      <c r="D39" s="8" t="s">
        <v>348</v>
      </c>
      <c r="E39" s="8" t="s">
        <v>260</v>
      </c>
      <c r="F39" s="20" t="n">
        <v>20000</v>
      </c>
      <c r="G39" s="27" t="s">
        <v>379</v>
      </c>
      <c r="H39" s="20" t="n">
        <f aca="false">F39*$B$4</f>
        <v>6000</v>
      </c>
      <c r="I39" s="20" t="n">
        <f aca="false">H39*$D$4</f>
        <v>1200</v>
      </c>
      <c r="J39" s="20" t="n">
        <f aca="false">$B$6</f>
        <v>45</v>
      </c>
      <c r="K39" s="21" t="n">
        <f aca="false">IFERROR(ROUND(I39/J39,0),0)</f>
        <v>27</v>
      </c>
      <c r="L39" s="6" t="s">
        <v>401</v>
      </c>
    </row>
    <row r="40" customFormat="false" ht="15" hidden="false" customHeight="false" outlineLevel="0" collapsed="false">
      <c r="A40" s="11" t="s">
        <v>62</v>
      </c>
      <c r="B40" s="24" t="s">
        <v>402</v>
      </c>
      <c r="C40" s="12" t="s">
        <v>283</v>
      </c>
      <c r="D40" s="11" t="s">
        <v>348</v>
      </c>
      <c r="E40" s="11" t="s">
        <v>274</v>
      </c>
      <c r="F40" s="22" t="n">
        <v>45000</v>
      </c>
      <c r="G40" s="25" t="s">
        <v>379</v>
      </c>
      <c r="H40" s="22" t="n">
        <f aca="false">F40*$B$4</f>
        <v>13500</v>
      </c>
      <c r="I40" s="22" t="n">
        <f aca="false">H40*$D$4</f>
        <v>2700</v>
      </c>
      <c r="J40" s="22" t="n">
        <f aca="false">$B$6</f>
        <v>45</v>
      </c>
      <c r="K40" s="23" t="n">
        <f aca="false">IFERROR(ROUND(I40/J40,0),0)</f>
        <v>60</v>
      </c>
      <c r="L40" s="5" t="s">
        <v>403</v>
      </c>
    </row>
    <row r="41" customFormat="false" ht="23.85" hidden="false" customHeight="false" outlineLevel="0" collapsed="false">
      <c r="A41" s="8" t="s">
        <v>62</v>
      </c>
      <c r="B41" s="26" t="s">
        <v>402</v>
      </c>
      <c r="C41" s="9" t="s">
        <v>273</v>
      </c>
      <c r="D41" s="8" t="s">
        <v>348</v>
      </c>
      <c r="E41" s="8" t="s">
        <v>274</v>
      </c>
      <c r="F41" s="20" t="n">
        <v>45000</v>
      </c>
      <c r="G41" s="27" t="s">
        <v>379</v>
      </c>
      <c r="H41" s="20" t="n">
        <f aca="false">F41*$B$4</f>
        <v>13500</v>
      </c>
      <c r="I41" s="20" t="n">
        <f aca="false">H41*$D$4</f>
        <v>2700</v>
      </c>
      <c r="J41" s="20" t="n">
        <f aca="false">$B$6</f>
        <v>45</v>
      </c>
      <c r="K41" s="21" t="n">
        <f aca="false">IFERROR(ROUND(I41/J41,0),0)</f>
        <v>60</v>
      </c>
      <c r="L41" s="6" t="s">
        <v>404</v>
      </c>
    </row>
    <row r="42" customFormat="false" ht="15" hidden="false" customHeight="false" outlineLevel="0" collapsed="false">
      <c r="A42" s="11" t="s">
        <v>99</v>
      </c>
      <c r="B42" s="24" t="s">
        <v>402</v>
      </c>
      <c r="C42" s="12" t="s">
        <v>286</v>
      </c>
      <c r="D42" s="11" t="s">
        <v>348</v>
      </c>
      <c r="E42" s="11" t="s">
        <v>274</v>
      </c>
      <c r="F42" s="22" t="n">
        <v>45000</v>
      </c>
      <c r="G42" s="25" t="s">
        <v>379</v>
      </c>
      <c r="H42" s="22" t="n">
        <f aca="false">F42*$B$4</f>
        <v>13500</v>
      </c>
      <c r="I42" s="22" t="n">
        <f aca="false">H42*$D$4</f>
        <v>2700</v>
      </c>
      <c r="J42" s="22" t="n">
        <f aca="false">$B$6</f>
        <v>45</v>
      </c>
      <c r="K42" s="23" t="n">
        <f aca="false">IFERROR(ROUND(I42/J42,0),0)</f>
        <v>60</v>
      </c>
      <c r="L42" s="5" t="s">
        <v>405</v>
      </c>
    </row>
    <row r="43" customFormat="false" ht="15" hidden="false" customHeight="false" outlineLevel="0" collapsed="false">
      <c r="A43" s="8" t="s">
        <v>99</v>
      </c>
      <c r="B43" s="26" t="s">
        <v>406</v>
      </c>
      <c r="C43" s="9" t="s">
        <v>290</v>
      </c>
      <c r="D43" s="8" t="s">
        <v>348</v>
      </c>
      <c r="E43" s="8" t="s">
        <v>291</v>
      </c>
      <c r="F43" s="20" t="n">
        <v>15000</v>
      </c>
      <c r="G43" s="27" t="s">
        <v>379</v>
      </c>
      <c r="H43" s="20" t="n">
        <f aca="false">F43*$B$4</f>
        <v>4500</v>
      </c>
      <c r="I43" s="20" t="n">
        <f aca="false">H43*$D$4</f>
        <v>900</v>
      </c>
      <c r="J43" s="20" t="n">
        <f aca="false">$B$6</f>
        <v>45</v>
      </c>
      <c r="K43" s="21" t="n">
        <f aca="false">IFERROR(ROUND(I43/J43,0),0)</f>
        <v>20</v>
      </c>
      <c r="L43" s="6" t="s">
        <v>407</v>
      </c>
    </row>
    <row r="44" customFormat="false" ht="15" hidden="false" customHeight="false" outlineLevel="0" collapsed="false">
      <c r="A44" s="11" t="s">
        <v>142</v>
      </c>
      <c r="B44" s="24" t="s">
        <v>406</v>
      </c>
      <c r="C44" s="12" t="s">
        <v>294</v>
      </c>
      <c r="D44" s="11" t="s">
        <v>348</v>
      </c>
      <c r="E44" s="11" t="s">
        <v>291</v>
      </c>
      <c r="F44" s="22" t="n">
        <v>15000</v>
      </c>
      <c r="G44" s="25" t="s">
        <v>379</v>
      </c>
      <c r="H44" s="22" t="n">
        <f aca="false">F44*$B$4</f>
        <v>4500</v>
      </c>
      <c r="I44" s="22" t="n">
        <f aca="false">H44*$D$4</f>
        <v>900</v>
      </c>
      <c r="J44" s="22" t="n">
        <f aca="false">$B$6</f>
        <v>45</v>
      </c>
      <c r="K44" s="23" t="n">
        <f aca="false">IFERROR(ROUND(I44/J44,0),0)</f>
        <v>20</v>
      </c>
      <c r="L44" s="5" t="s">
        <v>408</v>
      </c>
    </row>
    <row r="45" customFormat="false" ht="23.85" hidden="false" customHeight="false" outlineLevel="0" collapsed="false">
      <c r="A45" s="8" t="s">
        <v>99</v>
      </c>
      <c r="B45" s="26" t="s">
        <v>409</v>
      </c>
      <c r="C45" s="9" t="s">
        <v>307</v>
      </c>
      <c r="D45" s="8" t="s">
        <v>348</v>
      </c>
      <c r="E45" s="8" t="s">
        <v>308</v>
      </c>
      <c r="F45" s="20" t="n">
        <v>2986.69</v>
      </c>
      <c r="G45" s="8" t="s">
        <v>349</v>
      </c>
      <c r="H45" s="20" t="n">
        <f aca="false">F45*$B$4</f>
        <v>896.007</v>
      </c>
      <c r="I45" s="20" t="n">
        <f aca="false">H45*$D$4</f>
        <v>179.2014</v>
      </c>
      <c r="J45" s="20" t="n">
        <f aca="false">$B$6</f>
        <v>45</v>
      </c>
      <c r="K45" s="21" t="n">
        <f aca="false">IFERROR(ROUND(I45/J45,0),0)</f>
        <v>4</v>
      </c>
      <c r="L45" s="6" t="s">
        <v>410</v>
      </c>
    </row>
    <row r="46" customFormat="false" ht="15" hidden="false" customHeight="false" outlineLevel="0" collapsed="false">
      <c r="A46" s="11" t="s">
        <v>142</v>
      </c>
      <c r="B46" s="24" t="s">
        <v>409</v>
      </c>
      <c r="C46" s="12" t="s">
        <v>311</v>
      </c>
      <c r="D46" s="11" t="s">
        <v>348</v>
      </c>
      <c r="E46" s="11" t="s">
        <v>308</v>
      </c>
      <c r="F46" s="22" t="n">
        <v>2986.69</v>
      </c>
      <c r="G46" s="11" t="s">
        <v>349</v>
      </c>
      <c r="H46" s="22" t="n">
        <f aca="false">F46*$B$4</f>
        <v>896.007</v>
      </c>
      <c r="I46" s="22" t="n">
        <f aca="false">H46*$D$4</f>
        <v>179.2014</v>
      </c>
      <c r="J46" s="22" t="n">
        <f aca="false">$B$6</f>
        <v>45</v>
      </c>
      <c r="K46" s="23" t="n">
        <f aca="false">IFERROR(ROUND(I46/J46,0),0)</f>
        <v>4</v>
      </c>
      <c r="L46" s="5" t="s">
        <v>411</v>
      </c>
    </row>
    <row r="47" customFormat="false" ht="23.85" hidden="false" customHeight="false" outlineLevel="0" collapsed="false">
      <c r="A47" s="28" t="s">
        <v>412</v>
      </c>
      <c r="B47" s="28" t="s">
        <v>413</v>
      </c>
      <c r="C47" s="29" t="s">
        <v>414</v>
      </c>
      <c r="D47" s="28" t="s">
        <v>415</v>
      </c>
      <c r="E47" s="28" t="s">
        <v>274</v>
      </c>
      <c r="F47" s="30" t="n">
        <v>3518.28</v>
      </c>
      <c r="G47" s="28" t="s">
        <v>349</v>
      </c>
      <c r="H47" s="30" t="n">
        <f aca="false">F47*$B$4</f>
        <v>1055.484</v>
      </c>
      <c r="I47" s="30" t="n">
        <f aca="false">H47*$D$4</f>
        <v>211.0968</v>
      </c>
      <c r="J47" s="30" t="n">
        <f aca="false">$B$6</f>
        <v>45</v>
      </c>
      <c r="K47" s="31" t="n">
        <f aca="false">IFERROR(ROUND(I47/J47,0),0)</f>
        <v>5</v>
      </c>
      <c r="L47" s="32" t="s">
        <v>416</v>
      </c>
    </row>
    <row r="48" customFormat="false" ht="15" hidden="false" customHeight="false" outlineLevel="0" collapsed="false">
      <c r="A48" s="28" t="s">
        <v>412</v>
      </c>
      <c r="B48" s="28" t="s">
        <v>413</v>
      </c>
      <c r="C48" s="29" t="s">
        <v>417</v>
      </c>
      <c r="D48" s="28" t="s">
        <v>415</v>
      </c>
      <c r="E48" s="28" t="s">
        <v>96</v>
      </c>
      <c r="F48" s="30" t="n">
        <v>1307.27</v>
      </c>
      <c r="G48" s="28" t="s">
        <v>349</v>
      </c>
      <c r="H48" s="30" t="n">
        <f aca="false">F48*$B$4</f>
        <v>392.181</v>
      </c>
      <c r="I48" s="30" t="n">
        <f aca="false">H48*$D$4</f>
        <v>78.4362</v>
      </c>
      <c r="J48" s="30" t="n">
        <f aca="false">$B$5</f>
        <v>19.13</v>
      </c>
      <c r="K48" s="31" t="n">
        <f aca="false">IFERROR(ROUND(I48/J48,0),0)</f>
        <v>4</v>
      </c>
      <c r="L48" s="32" t="s">
        <v>418</v>
      </c>
    </row>
    <row r="49" customFormat="false" ht="15" hidden="false" customHeight="false" outlineLevel="0" collapsed="false">
      <c r="A49" s="28" t="s">
        <v>412</v>
      </c>
      <c r="B49" s="28" t="s">
        <v>413</v>
      </c>
      <c r="C49" s="29" t="s">
        <v>419</v>
      </c>
      <c r="D49" s="28" t="s">
        <v>415</v>
      </c>
      <c r="E49" s="28" t="s">
        <v>105</v>
      </c>
      <c r="F49" s="30" t="n">
        <v>987.07</v>
      </c>
      <c r="G49" s="28" t="s">
        <v>349</v>
      </c>
      <c r="H49" s="30" t="n">
        <f aca="false">F49*$B$4</f>
        <v>296.121</v>
      </c>
      <c r="I49" s="30" t="n">
        <f aca="false">H49*$D$4</f>
        <v>59.2242</v>
      </c>
      <c r="J49" s="30" t="n">
        <f aca="false">$B$5</f>
        <v>19.13</v>
      </c>
      <c r="K49" s="31" t="n">
        <f aca="false">IFERROR(ROUND(I49/J49,0),0)</f>
        <v>3</v>
      </c>
      <c r="L49" s="32" t="s">
        <v>420</v>
      </c>
    </row>
    <row r="50" customFormat="false" ht="23.85" hidden="false" customHeight="false" outlineLevel="0" collapsed="false">
      <c r="A50" s="28" t="s">
        <v>412</v>
      </c>
      <c r="B50" s="28" t="s">
        <v>413</v>
      </c>
      <c r="C50" s="29" t="s">
        <v>421</v>
      </c>
      <c r="D50" s="28" t="s">
        <v>415</v>
      </c>
      <c r="E50" s="28" t="s">
        <v>422</v>
      </c>
      <c r="F50" s="30" t="n">
        <v>987.07</v>
      </c>
      <c r="G50" s="28" t="s">
        <v>349</v>
      </c>
      <c r="H50" s="30" t="n">
        <f aca="false">F50*$B$4</f>
        <v>296.121</v>
      </c>
      <c r="I50" s="30" t="n">
        <f aca="false">H50*$D$4</f>
        <v>59.2242</v>
      </c>
      <c r="J50" s="30" t="n">
        <f aca="false">$B$5</f>
        <v>19.13</v>
      </c>
      <c r="K50" s="31" t="n">
        <f aca="false">IFERROR(ROUND(I50/J50,0),0)</f>
        <v>3</v>
      </c>
      <c r="L50" s="32" t="s">
        <v>423</v>
      </c>
    </row>
    <row r="51" customFormat="false" ht="15" hidden="false" customHeight="false" outlineLevel="0" collapsed="false">
      <c r="A51" s="28" t="s">
        <v>412</v>
      </c>
      <c r="B51" s="28" t="s">
        <v>413</v>
      </c>
      <c r="C51" s="29" t="s">
        <v>220</v>
      </c>
      <c r="D51" s="28" t="s">
        <v>415</v>
      </c>
      <c r="E51" s="28" t="s">
        <v>205</v>
      </c>
      <c r="F51" s="30" t="n">
        <v>25000</v>
      </c>
      <c r="G51" s="33" t="s">
        <v>379</v>
      </c>
      <c r="H51" s="30" t="n">
        <f aca="false">F51*$B$4</f>
        <v>7500</v>
      </c>
      <c r="I51" s="30" t="n">
        <f aca="false">H51*$D$4</f>
        <v>1500</v>
      </c>
      <c r="J51" s="30" t="n">
        <f aca="false">$B$6</f>
        <v>45</v>
      </c>
      <c r="K51" s="31" t="n">
        <f aca="false">IFERROR(ROUND(I51/J51,0),0)</f>
        <v>33</v>
      </c>
      <c r="L51" s="32" t="s">
        <v>424</v>
      </c>
    </row>
    <row r="53" customFormat="false" ht="15" hidden="false" customHeight="false" outlineLevel="0" collapsed="false">
      <c r="A53" s="2" t="s">
        <v>425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82"/>
  </cols>
  <sheetData>
    <row r="1" customFormat="false" ht="17.35" hidden="false" customHeight="false" outlineLevel="0" collapsed="false">
      <c r="A1" s="1" t="s">
        <v>426</v>
      </c>
    </row>
    <row r="2" customFormat="false" ht="15" hidden="false" customHeight="false" outlineLevel="0" collapsed="false">
      <c r="A2" s="2" t="s">
        <v>427</v>
      </c>
    </row>
    <row r="4" customFormat="false" ht="31.5" hidden="false" customHeight="true" outlineLevel="0" collapsed="false">
      <c r="A4" s="34" t="s">
        <v>428</v>
      </c>
      <c r="B4" s="34" t="s">
        <v>429</v>
      </c>
      <c r="C4" s="34" t="s">
        <v>430</v>
      </c>
    </row>
    <row r="5" customFormat="false" ht="15" hidden="false" customHeight="false" outlineLevel="0" collapsed="false">
      <c r="A5" s="35" t="s">
        <v>431</v>
      </c>
      <c r="B5" s="35"/>
      <c r="C5" s="4"/>
    </row>
    <row r="6" customFormat="false" ht="15" hidden="false" customHeight="false" outlineLevel="0" collapsed="false">
      <c r="A6" s="11" t="s">
        <v>432</v>
      </c>
      <c r="B6" s="11" t="s">
        <v>433</v>
      </c>
      <c r="C6" s="5" t="s">
        <v>434</v>
      </c>
    </row>
    <row r="7" customFormat="false" ht="15" hidden="false" customHeight="false" outlineLevel="0" collapsed="false">
      <c r="A7" s="8" t="s">
        <v>435</v>
      </c>
      <c r="B7" s="8" t="s">
        <v>433</v>
      </c>
      <c r="C7" s="6" t="s">
        <v>436</v>
      </c>
    </row>
    <row r="8" customFormat="false" ht="15" hidden="false" customHeight="false" outlineLevel="0" collapsed="false">
      <c r="A8" s="11" t="s">
        <v>437</v>
      </c>
      <c r="B8" s="11" t="s">
        <v>354</v>
      </c>
      <c r="C8" s="5" t="s">
        <v>438</v>
      </c>
    </row>
    <row r="9" customFormat="false" ht="15" hidden="false" customHeight="false" outlineLevel="0" collapsed="false">
      <c r="A9" s="8" t="s">
        <v>439</v>
      </c>
      <c r="B9" s="8" t="s">
        <v>433</v>
      </c>
      <c r="C9" s="6" t="s">
        <v>440</v>
      </c>
    </row>
    <row r="10" customFormat="false" ht="15" hidden="false" customHeight="false" outlineLevel="0" collapsed="false">
      <c r="A10" s="11" t="s">
        <v>441</v>
      </c>
      <c r="B10" s="11" t="s">
        <v>433</v>
      </c>
      <c r="C10" s="5" t="s">
        <v>442</v>
      </c>
    </row>
    <row r="11" customFormat="false" ht="15" hidden="false" customHeight="false" outlineLevel="0" collapsed="false">
      <c r="A11" s="8" t="s">
        <v>443</v>
      </c>
      <c r="B11" s="8" t="s">
        <v>433</v>
      </c>
      <c r="C11" s="6" t="s">
        <v>444</v>
      </c>
    </row>
    <row r="12" customFormat="false" ht="15" hidden="false" customHeight="false" outlineLevel="0" collapsed="false">
      <c r="A12" s="11"/>
      <c r="B12" s="11"/>
      <c r="C12" s="5"/>
    </row>
    <row r="13" customFormat="false" ht="15" hidden="false" customHeight="false" outlineLevel="0" collapsed="false">
      <c r="A13" s="35" t="s">
        <v>445</v>
      </c>
      <c r="B13" s="35"/>
      <c r="C13" s="4"/>
    </row>
    <row r="14" customFormat="false" ht="15" hidden="false" customHeight="false" outlineLevel="0" collapsed="false">
      <c r="A14" s="11" t="s">
        <v>446</v>
      </c>
      <c r="B14" s="11" t="s">
        <v>433</v>
      </c>
      <c r="C14" s="5" t="s">
        <v>447</v>
      </c>
    </row>
    <row r="15" customFormat="false" ht="15" hidden="false" customHeight="false" outlineLevel="0" collapsed="false">
      <c r="A15" s="8" t="s">
        <v>448</v>
      </c>
      <c r="B15" s="8" t="s">
        <v>433</v>
      </c>
      <c r="C15" s="6" t="s">
        <v>449</v>
      </c>
    </row>
    <row r="16" customFormat="false" ht="15" hidden="false" customHeight="false" outlineLevel="0" collapsed="false">
      <c r="A16" s="11" t="s">
        <v>450</v>
      </c>
      <c r="B16" s="11" t="s">
        <v>433</v>
      </c>
      <c r="C16" s="5" t="s">
        <v>451</v>
      </c>
    </row>
    <row r="17" customFormat="false" ht="15" hidden="false" customHeight="false" outlineLevel="0" collapsed="false">
      <c r="A17" s="8" t="s">
        <v>452</v>
      </c>
      <c r="B17" s="8" t="s">
        <v>433</v>
      </c>
      <c r="C17" s="6" t="s">
        <v>453</v>
      </c>
    </row>
    <row r="18" customFormat="false" ht="15" hidden="false" customHeight="false" outlineLevel="0" collapsed="false">
      <c r="A18" s="11" t="s">
        <v>454</v>
      </c>
      <c r="B18" s="11" t="s">
        <v>433</v>
      </c>
      <c r="C18" s="5" t="s">
        <v>455</v>
      </c>
    </row>
    <row r="19" customFormat="false" ht="15" hidden="false" customHeight="false" outlineLevel="0" collapsed="false">
      <c r="A19" s="8" t="s">
        <v>456</v>
      </c>
      <c r="B19" s="8" t="s">
        <v>433</v>
      </c>
      <c r="C19" s="6" t="s">
        <v>457</v>
      </c>
    </row>
    <row r="20" customFormat="false" ht="15" hidden="false" customHeight="false" outlineLevel="0" collapsed="false">
      <c r="A20" s="11"/>
      <c r="B20" s="11"/>
      <c r="C20" s="5"/>
    </row>
    <row r="21" customFormat="false" ht="15" hidden="false" customHeight="false" outlineLevel="0" collapsed="false">
      <c r="A21" s="35" t="s">
        <v>458</v>
      </c>
      <c r="B21" s="35"/>
      <c r="C21" s="4"/>
    </row>
    <row r="22" customFormat="false" ht="15" hidden="false" customHeight="false" outlineLevel="0" collapsed="false">
      <c r="A22" s="11" t="s">
        <v>459</v>
      </c>
      <c r="B22" s="11" t="s">
        <v>433</v>
      </c>
      <c r="C22" s="5" t="s">
        <v>460</v>
      </c>
    </row>
    <row r="23" customFormat="false" ht="15" hidden="false" customHeight="false" outlineLevel="0" collapsed="false">
      <c r="A23" s="8" t="s">
        <v>461</v>
      </c>
      <c r="B23" s="8" t="s">
        <v>433</v>
      </c>
      <c r="C23" s="6" t="s">
        <v>462</v>
      </c>
    </row>
    <row r="24" customFormat="false" ht="15" hidden="false" customHeight="false" outlineLevel="0" collapsed="false">
      <c r="A24" s="11" t="s">
        <v>463</v>
      </c>
      <c r="B24" s="11" t="s">
        <v>433</v>
      </c>
      <c r="C24" s="5" t="s">
        <v>464</v>
      </c>
    </row>
    <row r="25" customFormat="false" ht="15" hidden="false" customHeight="false" outlineLevel="0" collapsed="false">
      <c r="A25" s="8" t="s">
        <v>465</v>
      </c>
      <c r="B25" s="8" t="s">
        <v>433</v>
      </c>
      <c r="C25" s="6" t="s">
        <v>466</v>
      </c>
    </row>
    <row r="26" customFormat="false" ht="15" hidden="false" customHeight="false" outlineLevel="0" collapsed="false">
      <c r="A26" s="11" t="s">
        <v>467</v>
      </c>
      <c r="B26" s="11" t="s">
        <v>433</v>
      </c>
      <c r="C26" s="5" t="s">
        <v>468</v>
      </c>
    </row>
    <row r="27" customFormat="false" ht="15" hidden="false" customHeight="false" outlineLevel="0" collapsed="false">
      <c r="A27" s="8" t="s">
        <v>469</v>
      </c>
      <c r="B27" s="8" t="s">
        <v>433</v>
      </c>
      <c r="C27" s="6" t="s">
        <v>470</v>
      </c>
    </row>
    <row r="28" customFormat="false" ht="15" hidden="false" customHeight="false" outlineLevel="0" collapsed="false">
      <c r="A28" s="11" t="s">
        <v>471</v>
      </c>
      <c r="B28" s="11" t="s">
        <v>433</v>
      </c>
      <c r="C28" s="5" t="s">
        <v>472</v>
      </c>
    </row>
    <row r="29" customFormat="false" ht="15" hidden="false" customHeight="false" outlineLevel="0" collapsed="false">
      <c r="A29" s="8" t="s">
        <v>473</v>
      </c>
      <c r="B29" s="8" t="s">
        <v>433</v>
      </c>
      <c r="C29" s="6" t="s">
        <v>474</v>
      </c>
    </row>
    <row r="30" customFormat="false" ht="15" hidden="false" customHeight="false" outlineLevel="0" collapsed="false">
      <c r="A30" s="11" t="s">
        <v>475</v>
      </c>
      <c r="B30" s="11" t="s">
        <v>348</v>
      </c>
      <c r="C30" s="5" t="s">
        <v>476</v>
      </c>
    </row>
    <row r="31" customFormat="false" ht="15" hidden="false" customHeight="false" outlineLevel="0" collapsed="false">
      <c r="A31" s="8" t="s">
        <v>477</v>
      </c>
      <c r="B31" s="8" t="s">
        <v>433</v>
      </c>
      <c r="C31" s="6" t="s">
        <v>478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2026-08-26T21:44:34Z</dcterms:created>
  <dc:creator>openpyxl</dc:creator>
  <dc:description/>
  <dc:language>en-US</dc:language>
  <cp:lastModifiedBy/>
  <dcterms:modified xsi:type="dcterms:W3CDTF">2026-08-26T21:44:34Z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